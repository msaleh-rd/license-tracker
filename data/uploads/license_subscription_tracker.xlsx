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vertowave-my.sharepoint.com/personal/hannah_hekal_vertowave_com/Documents/BOQ/"/>
    </mc:Choice>
  </mc:AlternateContent>
  <xr:revisionPtr revIDLastSave="689" documentId="13_ncr:1_{DCB062DB-4CD6-4CD4-8C3C-170B470736B8}" xr6:coauthVersionLast="47" xr6:coauthVersionMax="47" xr10:uidLastSave="{64F3D66C-6C2B-4F1E-A11B-E42EB9271453}"/>
  <bookViews>
    <workbookView xWindow="-120" yWindow="-120" windowWidth="20730" windowHeight="11040" firstSheet="1" activeTab="1" xr2:uid="{00000000-000D-0000-FFFF-FFFF00000000}"/>
  </bookViews>
  <sheets>
    <sheet name="Dashboard" sheetId="1" r:id="rId1"/>
    <sheet name="License_Register" sheetId="2" r:id="rId2"/>
    <sheet name="Settings" sheetId="3" r:id="rId3"/>
    <sheet name="Lists" sheetId="4" r:id="rId4"/>
    <sheet name="How_to_Use" sheetId="5" r:id="rId5"/>
    <sheet name="Sheet1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2" i="2" l="1"/>
  <c r="T52" i="2"/>
  <c r="S53" i="2"/>
  <c r="T53" i="2"/>
  <c r="S54" i="2"/>
  <c r="T54" i="2"/>
  <c r="S55" i="2"/>
  <c r="T55" i="2"/>
  <c r="S56" i="2"/>
  <c r="T56" i="2"/>
  <c r="S57" i="2"/>
  <c r="T57" i="2"/>
  <c r="S58" i="2"/>
  <c r="T58" i="2"/>
  <c r="S44" i="2"/>
  <c r="T44" i="2"/>
  <c r="S45" i="2"/>
  <c r="T45" i="2"/>
  <c r="S46" i="2"/>
  <c r="T46" i="2"/>
  <c r="S47" i="2"/>
  <c r="T47" i="2"/>
  <c r="S48" i="2"/>
  <c r="T48" i="2"/>
  <c r="S49" i="2"/>
  <c r="T49" i="2"/>
  <c r="S50" i="2"/>
  <c r="T50" i="2"/>
  <c r="S51" i="2"/>
  <c r="T51" i="2"/>
  <c r="S40" i="2"/>
  <c r="T40" i="2"/>
  <c r="S41" i="2"/>
  <c r="T41" i="2"/>
  <c r="S42" i="2"/>
  <c r="T42" i="2"/>
  <c r="S43" i="2"/>
  <c r="T43" i="2"/>
  <c r="W47" i="2"/>
  <c r="N47" i="2"/>
  <c r="Y47" i="2"/>
  <c r="W44" i="2"/>
  <c r="N44" i="2"/>
  <c r="Y44" i="2"/>
  <c r="W40" i="2"/>
  <c r="N40" i="2"/>
  <c r="Y40" i="2"/>
  <c r="AA19" i="2"/>
  <c r="AA20" i="2"/>
  <c r="S27" i="2"/>
  <c r="T27" i="2"/>
  <c r="W27" i="2"/>
  <c r="N27" i="2"/>
  <c r="AA27" i="2" s="1"/>
  <c r="AC27" i="2" s="1"/>
  <c r="AB10" i="2"/>
  <c r="Y10" i="2"/>
  <c r="T10" i="2"/>
  <c r="S10" i="2"/>
  <c r="N10" i="2"/>
  <c r="AA10" i="2" s="1"/>
  <c r="AC10" i="2" s="1"/>
  <c r="T19" i="2"/>
  <c r="T20" i="2"/>
  <c r="T21" i="2"/>
  <c r="T22" i="2"/>
  <c r="T23" i="2"/>
  <c r="T24" i="2"/>
  <c r="T25" i="2"/>
  <c r="T26" i="2"/>
  <c r="T28" i="2"/>
  <c r="T29" i="2"/>
  <c r="T30" i="2"/>
  <c r="T31" i="2"/>
  <c r="T32" i="2"/>
  <c r="T33" i="2"/>
  <c r="T34" i="2"/>
  <c r="T35" i="2"/>
  <c r="T36" i="2"/>
  <c r="T37" i="2"/>
  <c r="T38" i="2"/>
  <c r="T39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S19" i="2"/>
  <c r="S20" i="2"/>
  <c r="S21" i="2"/>
  <c r="S22" i="2"/>
  <c r="S23" i="2"/>
  <c r="S24" i="2"/>
  <c r="S25" i="2"/>
  <c r="S26" i="2"/>
  <c r="S28" i="2"/>
  <c r="S29" i="2"/>
  <c r="S30" i="2"/>
  <c r="S31" i="2"/>
  <c r="S32" i="2"/>
  <c r="S33" i="2"/>
  <c r="S34" i="2"/>
  <c r="S35" i="2"/>
  <c r="S36" i="2"/>
  <c r="S37" i="2"/>
  <c r="S38" i="2"/>
  <c r="S39" i="2"/>
  <c r="S18" i="2" l="1"/>
  <c r="T18" i="2"/>
  <c r="N18" i="2"/>
  <c r="AA18" i="2" s="1"/>
  <c r="N19" i="2"/>
  <c r="N20" i="2"/>
  <c r="N21" i="2"/>
  <c r="AA21" i="2" s="1"/>
  <c r="N22" i="2"/>
  <c r="AA22" i="2" s="1"/>
  <c r="N23" i="2"/>
  <c r="AA23" i="2" s="1"/>
  <c r="N24" i="2"/>
  <c r="AA24" i="2" s="1"/>
  <c r="N25" i="2"/>
  <c r="AA25" i="2" s="1"/>
  <c r="N26" i="2"/>
  <c r="AA26" i="2" s="1"/>
  <c r="N28" i="2"/>
  <c r="AA28" i="2" s="1"/>
  <c r="N29" i="2"/>
  <c r="AA29" i="2" s="1"/>
  <c r="N30" i="2"/>
  <c r="AA30" i="2" s="1"/>
  <c r="N31" i="2"/>
  <c r="AA31" i="2" s="1"/>
  <c r="N32" i="2"/>
  <c r="AA32" i="2" s="1"/>
  <c r="AB8" i="2"/>
  <c r="AB9" i="2"/>
  <c r="AB11" i="2"/>
  <c r="AB12" i="2"/>
  <c r="AB13" i="2"/>
  <c r="AB14" i="2"/>
  <c r="AB15" i="2"/>
  <c r="AB16" i="2"/>
  <c r="AB17" i="2"/>
  <c r="AB18" i="2"/>
  <c r="AB19" i="2"/>
  <c r="AC19" i="2" s="1"/>
  <c r="AB20" i="2"/>
  <c r="AC20" i="2" s="1"/>
  <c r="AB21" i="2"/>
  <c r="AB22" i="2"/>
  <c r="AB23" i="2"/>
  <c r="AB24" i="2"/>
  <c r="AB25" i="2"/>
  <c r="AB26" i="2"/>
  <c r="AB28" i="2"/>
  <c r="AB29" i="2"/>
  <c r="W17" i="2"/>
  <c r="W18" i="2"/>
  <c r="W19" i="2"/>
  <c r="W20" i="2"/>
  <c r="S17" i="2"/>
  <c r="T17" i="2"/>
  <c r="N17" i="2"/>
  <c r="AA17" i="2" s="1"/>
  <c r="Y17" i="2"/>
  <c r="AE16" i="6"/>
  <c r="AD16" i="6"/>
  <c r="AB16" i="6"/>
  <c r="AF16" i="6" s="1"/>
  <c r="Q16" i="6"/>
  <c r="Z16" i="6" s="1"/>
  <c r="AE15" i="6"/>
  <c r="AD15" i="6"/>
  <c r="AB15" i="6"/>
  <c r="AF15" i="6" s="1"/>
  <c r="Q15" i="6"/>
  <c r="Z15" i="6" s="1"/>
  <c r="AE14" i="6"/>
  <c r="AD14" i="6"/>
  <c r="AB14" i="6"/>
  <c r="AF14" i="6" s="1"/>
  <c r="Q14" i="6"/>
  <c r="Z14" i="6" s="1"/>
  <c r="AE13" i="6"/>
  <c r="AD13" i="6"/>
  <c r="AB13" i="6"/>
  <c r="AF13" i="6" s="1"/>
  <c r="Q13" i="6"/>
  <c r="Z13" i="6" s="1"/>
  <c r="AE12" i="6"/>
  <c r="AD12" i="6"/>
  <c r="AB12" i="6"/>
  <c r="AF12" i="6" s="1"/>
  <c r="Q12" i="6"/>
  <c r="Z12" i="6" s="1"/>
  <c r="AE11" i="6"/>
  <c r="AD11" i="6"/>
  <c r="AB11" i="6"/>
  <c r="AF11" i="6" s="1"/>
  <c r="Q11" i="6"/>
  <c r="W11" i="6" s="1"/>
  <c r="AC29" i="2" l="1"/>
  <c r="AC28" i="2"/>
  <c r="AC18" i="2"/>
  <c r="AC17" i="2"/>
  <c r="AC24" i="2"/>
  <c r="AC23" i="2"/>
  <c r="AC21" i="2"/>
  <c r="AC22" i="2"/>
  <c r="AC25" i="2"/>
  <c r="AC26" i="2"/>
  <c r="V13" i="6"/>
  <c r="V16" i="6"/>
  <c r="W13" i="6"/>
  <c r="W16" i="6"/>
  <c r="V12" i="6"/>
  <c r="V15" i="6"/>
  <c r="V11" i="6"/>
  <c r="V14" i="6"/>
  <c r="W14" i="6"/>
  <c r="Z11" i="6"/>
  <c r="W12" i="6"/>
  <c r="W15" i="6"/>
  <c r="AC306" i="2"/>
  <c r="AB306" i="2"/>
  <c r="AA306" i="2"/>
  <c r="Y306" i="2"/>
  <c r="W306" i="2"/>
  <c r="T306" i="2"/>
  <c r="S306" i="2"/>
  <c r="N306" i="2"/>
  <c r="AC305" i="2"/>
  <c r="AB305" i="2"/>
  <c r="AA305" i="2"/>
  <c r="Y305" i="2"/>
  <c r="W305" i="2"/>
  <c r="T305" i="2"/>
  <c r="S305" i="2"/>
  <c r="N305" i="2"/>
  <c r="AC304" i="2"/>
  <c r="AB304" i="2"/>
  <c r="AA304" i="2"/>
  <c r="Y304" i="2"/>
  <c r="W304" i="2"/>
  <c r="T304" i="2"/>
  <c r="S304" i="2"/>
  <c r="N304" i="2"/>
  <c r="AC303" i="2"/>
  <c r="AB303" i="2"/>
  <c r="AA303" i="2"/>
  <c r="Y303" i="2"/>
  <c r="W303" i="2"/>
  <c r="T303" i="2"/>
  <c r="S303" i="2"/>
  <c r="N303" i="2"/>
  <c r="AC302" i="2"/>
  <c r="AB302" i="2"/>
  <c r="AA302" i="2"/>
  <c r="Y302" i="2"/>
  <c r="W302" i="2"/>
  <c r="T302" i="2"/>
  <c r="S302" i="2"/>
  <c r="N302" i="2"/>
  <c r="AC301" i="2"/>
  <c r="AB301" i="2"/>
  <c r="AA301" i="2"/>
  <c r="Y301" i="2"/>
  <c r="W301" i="2"/>
  <c r="T301" i="2"/>
  <c r="S301" i="2"/>
  <c r="N301" i="2"/>
  <c r="AC300" i="2"/>
  <c r="AB300" i="2"/>
  <c r="AA300" i="2"/>
  <c r="Y300" i="2"/>
  <c r="W300" i="2"/>
  <c r="T300" i="2"/>
  <c r="S300" i="2"/>
  <c r="N300" i="2"/>
  <c r="AC299" i="2"/>
  <c r="AB299" i="2"/>
  <c r="AA299" i="2"/>
  <c r="Y299" i="2"/>
  <c r="W299" i="2"/>
  <c r="T299" i="2"/>
  <c r="S299" i="2"/>
  <c r="N299" i="2"/>
  <c r="AC298" i="2"/>
  <c r="AB298" i="2"/>
  <c r="AA298" i="2"/>
  <c r="Y298" i="2"/>
  <c r="W298" i="2"/>
  <c r="T298" i="2"/>
  <c r="S298" i="2"/>
  <c r="N298" i="2"/>
  <c r="AC297" i="2"/>
  <c r="AB297" i="2"/>
  <c r="AA297" i="2"/>
  <c r="Y297" i="2"/>
  <c r="W297" i="2"/>
  <c r="T297" i="2"/>
  <c r="S297" i="2"/>
  <c r="N297" i="2"/>
  <c r="AC296" i="2"/>
  <c r="AB296" i="2"/>
  <c r="AA296" i="2"/>
  <c r="Y296" i="2"/>
  <c r="W296" i="2"/>
  <c r="T296" i="2"/>
  <c r="S296" i="2"/>
  <c r="N296" i="2"/>
  <c r="AC295" i="2"/>
  <c r="AB295" i="2"/>
  <c r="AA295" i="2"/>
  <c r="Y295" i="2"/>
  <c r="W295" i="2"/>
  <c r="T295" i="2"/>
  <c r="S295" i="2"/>
  <c r="N295" i="2"/>
  <c r="AC294" i="2"/>
  <c r="AB294" i="2"/>
  <c r="AA294" i="2"/>
  <c r="Y294" i="2"/>
  <c r="W294" i="2"/>
  <c r="T294" i="2"/>
  <c r="S294" i="2"/>
  <c r="N294" i="2"/>
  <c r="AC293" i="2"/>
  <c r="AB293" i="2"/>
  <c r="AA293" i="2"/>
  <c r="Y293" i="2"/>
  <c r="W293" i="2"/>
  <c r="T293" i="2"/>
  <c r="S293" i="2"/>
  <c r="N293" i="2"/>
  <c r="AC292" i="2"/>
  <c r="AB292" i="2"/>
  <c r="AA292" i="2"/>
  <c r="Y292" i="2"/>
  <c r="W292" i="2"/>
  <c r="T292" i="2"/>
  <c r="S292" i="2"/>
  <c r="N292" i="2"/>
  <c r="AC291" i="2"/>
  <c r="AB291" i="2"/>
  <c r="AA291" i="2"/>
  <c r="Y291" i="2"/>
  <c r="W291" i="2"/>
  <c r="T291" i="2"/>
  <c r="S291" i="2"/>
  <c r="N291" i="2"/>
  <c r="AC290" i="2"/>
  <c r="AB290" i="2"/>
  <c r="AA290" i="2"/>
  <c r="Y290" i="2"/>
  <c r="W290" i="2"/>
  <c r="T290" i="2"/>
  <c r="S290" i="2"/>
  <c r="N290" i="2"/>
  <c r="AC289" i="2"/>
  <c r="AB289" i="2"/>
  <c r="AA289" i="2"/>
  <c r="Y289" i="2"/>
  <c r="W289" i="2"/>
  <c r="T289" i="2"/>
  <c r="S289" i="2"/>
  <c r="N289" i="2"/>
  <c r="AC288" i="2"/>
  <c r="AB288" i="2"/>
  <c r="AA288" i="2"/>
  <c r="Y288" i="2"/>
  <c r="W288" i="2"/>
  <c r="T288" i="2"/>
  <c r="S288" i="2"/>
  <c r="N288" i="2"/>
  <c r="AC287" i="2"/>
  <c r="AB287" i="2"/>
  <c r="AA287" i="2"/>
  <c r="Y287" i="2"/>
  <c r="W287" i="2"/>
  <c r="T287" i="2"/>
  <c r="S287" i="2"/>
  <c r="N287" i="2"/>
  <c r="AC286" i="2"/>
  <c r="AB286" i="2"/>
  <c r="AA286" i="2"/>
  <c r="Y286" i="2"/>
  <c r="W286" i="2"/>
  <c r="T286" i="2"/>
  <c r="S286" i="2"/>
  <c r="N286" i="2"/>
  <c r="AC285" i="2"/>
  <c r="AB285" i="2"/>
  <c r="AA285" i="2"/>
  <c r="Y285" i="2"/>
  <c r="W285" i="2"/>
  <c r="T285" i="2"/>
  <c r="S285" i="2"/>
  <c r="N285" i="2"/>
  <c r="AC284" i="2"/>
  <c r="AB284" i="2"/>
  <c r="AA284" i="2"/>
  <c r="Y284" i="2"/>
  <c r="W284" i="2"/>
  <c r="T284" i="2"/>
  <c r="S284" i="2"/>
  <c r="N284" i="2"/>
  <c r="AC283" i="2"/>
  <c r="AB283" i="2"/>
  <c r="AA283" i="2"/>
  <c r="Y283" i="2"/>
  <c r="W283" i="2"/>
  <c r="T283" i="2"/>
  <c r="S283" i="2"/>
  <c r="N283" i="2"/>
  <c r="AC282" i="2"/>
  <c r="AB282" i="2"/>
  <c r="AA282" i="2"/>
  <c r="Y282" i="2"/>
  <c r="W282" i="2"/>
  <c r="T282" i="2"/>
  <c r="S282" i="2"/>
  <c r="N282" i="2"/>
  <c r="AC281" i="2"/>
  <c r="AB281" i="2"/>
  <c r="AA281" i="2"/>
  <c r="Y281" i="2"/>
  <c r="W281" i="2"/>
  <c r="T281" i="2"/>
  <c r="S281" i="2"/>
  <c r="N281" i="2"/>
  <c r="AC280" i="2"/>
  <c r="AB280" i="2"/>
  <c r="AA280" i="2"/>
  <c r="Y280" i="2"/>
  <c r="W280" i="2"/>
  <c r="T280" i="2"/>
  <c r="S280" i="2"/>
  <c r="N280" i="2"/>
  <c r="AC279" i="2"/>
  <c r="AB279" i="2"/>
  <c r="AA279" i="2"/>
  <c r="Y279" i="2"/>
  <c r="W279" i="2"/>
  <c r="T279" i="2"/>
  <c r="S279" i="2"/>
  <c r="N279" i="2"/>
  <c r="AC278" i="2"/>
  <c r="AB278" i="2"/>
  <c r="AA278" i="2"/>
  <c r="Y278" i="2"/>
  <c r="W278" i="2"/>
  <c r="T278" i="2"/>
  <c r="S278" i="2"/>
  <c r="N278" i="2"/>
  <c r="AC277" i="2"/>
  <c r="AB277" i="2"/>
  <c r="AA277" i="2"/>
  <c r="Y277" i="2"/>
  <c r="W277" i="2"/>
  <c r="T277" i="2"/>
  <c r="S277" i="2"/>
  <c r="N277" i="2"/>
  <c r="AC276" i="2"/>
  <c r="AB276" i="2"/>
  <c r="AA276" i="2"/>
  <c r="Y276" i="2"/>
  <c r="W276" i="2"/>
  <c r="T276" i="2"/>
  <c r="S276" i="2"/>
  <c r="N276" i="2"/>
  <c r="AC275" i="2"/>
  <c r="AB275" i="2"/>
  <c r="AA275" i="2"/>
  <c r="Y275" i="2"/>
  <c r="W275" i="2"/>
  <c r="T275" i="2"/>
  <c r="S275" i="2"/>
  <c r="N275" i="2"/>
  <c r="AC274" i="2"/>
  <c r="AB274" i="2"/>
  <c r="AA274" i="2"/>
  <c r="Y274" i="2"/>
  <c r="W274" i="2"/>
  <c r="T274" i="2"/>
  <c r="S274" i="2"/>
  <c r="N274" i="2"/>
  <c r="AC273" i="2"/>
  <c r="AB273" i="2"/>
  <c r="AA273" i="2"/>
  <c r="Y273" i="2"/>
  <c r="W273" i="2"/>
  <c r="T273" i="2"/>
  <c r="S273" i="2"/>
  <c r="N273" i="2"/>
  <c r="AC272" i="2"/>
  <c r="AB272" i="2"/>
  <c r="AA272" i="2"/>
  <c r="Y272" i="2"/>
  <c r="W272" i="2"/>
  <c r="T272" i="2"/>
  <c r="S272" i="2"/>
  <c r="N272" i="2"/>
  <c r="AC271" i="2"/>
  <c r="AB271" i="2"/>
  <c r="AA271" i="2"/>
  <c r="Y271" i="2"/>
  <c r="W271" i="2"/>
  <c r="T271" i="2"/>
  <c r="S271" i="2"/>
  <c r="N271" i="2"/>
  <c r="AC270" i="2"/>
  <c r="AB270" i="2"/>
  <c r="AA270" i="2"/>
  <c r="Y270" i="2"/>
  <c r="W270" i="2"/>
  <c r="T270" i="2"/>
  <c r="S270" i="2"/>
  <c r="N270" i="2"/>
  <c r="AC269" i="2"/>
  <c r="AB269" i="2"/>
  <c r="AA269" i="2"/>
  <c r="Y269" i="2"/>
  <c r="W269" i="2"/>
  <c r="T269" i="2"/>
  <c r="S269" i="2"/>
  <c r="N269" i="2"/>
  <c r="AC268" i="2"/>
  <c r="AB268" i="2"/>
  <c r="AA268" i="2"/>
  <c r="Y268" i="2"/>
  <c r="W268" i="2"/>
  <c r="T268" i="2"/>
  <c r="S268" i="2"/>
  <c r="N268" i="2"/>
  <c r="AC267" i="2"/>
  <c r="AB267" i="2"/>
  <c r="AA267" i="2"/>
  <c r="Y267" i="2"/>
  <c r="W267" i="2"/>
  <c r="T267" i="2"/>
  <c r="S267" i="2"/>
  <c r="N267" i="2"/>
  <c r="AC266" i="2"/>
  <c r="AB266" i="2"/>
  <c r="AA266" i="2"/>
  <c r="Y266" i="2"/>
  <c r="W266" i="2"/>
  <c r="T266" i="2"/>
  <c r="S266" i="2"/>
  <c r="N266" i="2"/>
  <c r="AC265" i="2"/>
  <c r="AB265" i="2"/>
  <c r="AA265" i="2"/>
  <c r="Y265" i="2"/>
  <c r="W265" i="2"/>
  <c r="T265" i="2"/>
  <c r="S265" i="2"/>
  <c r="N265" i="2"/>
  <c r="AC264" i="2"/>
  <c r="AB264" i="2"/>
  <c r="AA264" i="2"/>
  <c r="Y264" i="2"/>
  <c r="W264" i="2"/>
  <c r="T264" i="2"/>
  <c r="S264" i="2"/>
  <c r="N264" i="2"/>
  <c r="AC263" i="2"/>
  <c r="AB263" i="2"/>
  <c r="AA263" i="2"/>
  <c r="Y263" i="2"/>
  <c r="W263" i="2"/>
  <c r="T263" i="2"/>
  <c r="S263" i="2"/>
  <c r="N263" i="2"/>
  <c r="AC262" i="2"/>
  <c r="AB262" i="2"/>
  <c r="AA262" i="2"/>
  <c r="Y262" i="2"/>
  <c r="W262" i="2"/>
  <c r="T262" i="2"/>
  <c r="S262" i="2"/>
  <c r="N262" i="2"/>
  <c r="AC261" i="2"/>
  <c r="AB261" i="2"/>
  <c r="AA261" i="2"/>
  <c r="Y261" i="2"/>
  <c r="W261" i="2"/>
  <c r="T261" i="2"/>
  <c r="S261" i="2"/>
  <c r="N261" i="2"/>
  <c r="AC260" i="2"/>
  <c r="AB260" i="2"/>
  <c r="AA260" i="2"/>
  <c r="Y260" i="2"/>
  <c r="W260" i="2"/>
  <c r="T260" i="2"/>
  <c r="S260" i="2"/>
  <c r="N260" i="2"/>
  <c r="AC259" i="2"/>
  <c r="AB259" i="2"/>
  <c r="AA259" i="2"/>
  <c r="Y259" i="2"/>
  <c r="W259" i="2"/>
  <c r="T259" i="2"/>
  <c r="S259" i="2"/>
  <c r="N259" i="2"/>
  <c r="AC258" i="2"/>
  <c r="AB258" i="2"/>
  <c r="AA258" i="2"/>
  <c r="Y258" i="2"/>
  <c r="W258" i="2"/>
  <c r="T258" i="2"/>
  <c r="S258" i="2"/>
  <c r="N258" i="2"/>
  <c r="AC257" i="2"/>
  <c r="AB257" i="2"/>
  <c r="AA257" i="2"/>
  <c r="Y257" i="2"/>
  <c r="W257" i="2"/>
  <c r="T257" i="2"/>
  <c r="S257" i="2"/>
  <c r="N257" i="2"/>
  <c r="AC256" i="2"/>
  <c r="AB256" i="2"/>
  <c r="AA256" i="2"/>
  <c r="Y256" i="2"/>
  <c r="W256" i="2"/>
  <c r="T256" i="2"/>
  <c r="S256" i="2"/>
  <c r="N256" i="2"/>
  <c r="AC255" i="2"/>
  <c r="AB255" i="2"/>
  <c r="AA255" i="2"/>
  <c r="Y255" i="2"/>
  <c r="W255" i="2"/>
  <c r="T255" i="2"/>
  <c r="S255" i="2"/>
  <c r="N255" i="2"/>
  <c r="AC254" i="2"/>
  <c r="AB254" i="2"/>
  <c r="AA254" i="2"/>
  <c r="Y254" i="2"/>
  <c r="W254" i="2"/>
  <c r="T254" i="2"/>
  <c r="S254" i="2"/>
  <c r="N254" i="2"/>
  <c r="AC253" i="2"/>
  <c r="AB253" i="2"/>
  <c r="AA253" i="2"/>
  <c r="Y253" i="2"/>
  <c r="W253" i="2"/>
  <c r="T253" i="2"/>
  <c r="S253" i="2"/>
  <c r="N253" i="2"/>
  <c r="AC252" i="2"/>
  <c r="AB252" i="2"/>
  <c r="AA252" i="2"/>
  <c r="Y252" i="2"/>
  <c r="W252" i="2"/>
  <c r="T252" i="2"/>
  <c r="S252" i="2"/>
  <c r="N252" i="2"/>
  <c r="AC251" i="2"/>
  <c r="AB251" i="2"/>
  <c r="AA251" i="2"/>
  <c r="Y251" i="2"/>
  <c r="W251" i="2"/>
  <c r="T251" i="2"/>
  <c r="S251" i="2"/>
  <c r="N251" i="2"/>
  <c r="AC250" i="2"/>
  <c r="AB250" i="2"/>
  <c r="AA250" i="2"/>
  <c r="Y250" i="2"/>
  <c r="W250" i="2"/>
  <c r="T250" i="2"/>
  <c r="S250" i="2"/>
  <c r="N250" i="2"/>
  <c r="AC249" i="2"/>
  <c r="AB249" i="2"/>
  <c r="AA249" i="2"/>
  <c r="Y249" i="2"/>
  <c r="W249" i="2"/>
  <c r="T249" i="2"/>
  <c r="S249" i="2"/>
  <c r="N249" i="2"/>
  <c r="AC248" i="2"/>
  <c r="AB248" i="2"/>
  <c r="AA248" i="2"/>
  <c r="Y248" i="2"/>
  <c r="W248" i="2"/>
  <c r="T248" i="2"/>
  <c r="S248" i="2"/>
  <c r="N248" i="2"/>
  <c r="AC247" i="2"/>
  <c r="AB247" i="2"/>
  <c r="AA247" i="2"/>
  <c r="Y247" i="2"/>
  <c r="W247" i="2"/>
  <c r="T247" i="2"/>
  <c r="S247" i="2"/>
  <c r="N247" i="2"/>
  <c r="AC246" i="2"/>
  <c r="AB246" i="2"/>
  <c r="AA246" i="2"/>
  <c r="Y246" i="2"/>
  <c r="W246" i="2"/>
  <c r="T246" i="2"/>
  <c r="S246" i="2"/>
  <c r="N246" i="2"/>
  <c r="AC245" i="2"/>
  <c r="AB245" i="2"/>
  <c r="AA245" i="2"/>
  <c r="Y245" i="2"/>
  <c r="W245" i="2"/>
  <c r="T245" i="2"/>
  <c r="S245" i="2"/>
  <c r="N245" i="2"/>
  <c r="AC244" i="2"/>
  <c r="AB244" i="2"/>
  <c r="AA244" i="2"/>
  <c r="Y244" i="2"/>
  <c r="W244" i="2"/>
  <c r="T244" i="2"/>
  <c r="S244" i="2"/>
  <c r="N244" i="2"/>
  <c r="AC243" i="2"/>
  <c r="AB243" i="2"/>
  <c r="AA243" i="2"/>
  <c r="Y243" i="2"/>
  <c r="W243" i="2"/>
  <c r="T243" i="2"/>
  <c r="S243" i="2"/>
  <c r="N243" i="2"/>
  <c r="AC242" i="2"/>
  <c r="AB242" i="2"/>
  <c r="AA242" i="2"/>
  <c r="Y242" i="2"/>
  <c r="W242" i="2"/>
  <c r="T242" i="2"/>
  <c r="S242" i="2"/>
  <c r="N242" i="2"/>
  <c r="AC241" i="2"/>
  <c r="AB241" i="2"/>
  <c r="AA241" i="2"/>
  <c r="Y241" i="2"/>
  <c r="W241" i="2"/>
  <c r="T241" i="2"/>
  <c r="S241" i="2"/>
  <c r="N241" i="2"/>
  <c r="AC240" i="2"/>
  <c r="AB240" i="2"/>
  <c r="AA240" i="2"/>
  <c r="Y240" i="2"/>
  <c r="W240" i="2"/>
  <c r="T240" i="2"/>
  <c r="S240" i="2"/>
  <c r="N240" i="2"/>
  <c r="AC239" i="2"/>
  <c r="AB239" i="2"/>
  <c r="AA239" i="2"/>
  <c r="Y239" i="2"/>
  <c r="W239" i="2"/>
  <c r="T239" i="2"/>
  <c r="S239" i="2"/>
  <c r="N239" i="2"/>
  <c r="AC238" i="2"/>
  <c r="AB238" i="2"/>
  <c r="AA238" i="2"/>
  <c r="Y238" i="2"/>
  <c r="W238" i="2"/>
  <c r="T238" i="2"/>
  <c r="S238" i="2"/>
  <c r="N238" i="2"/>
  <c r="AC237" i="2"/>
  <c r="AB237" i="2"/>
  <c r="AA237" i="2"/>
  <c r="Y237" i="2"/>
  <c r="W237" i="2"/>
  <c r="T237" i="2"/>
  <c r="S237" i="2"/>
  <c r="N237" i="2"/>
  <c r="AC236" i="2"/>
  <c r="AB236" i="2"/>
  <c r="AA236" i="2"/>
  <c r="Y236" i="2"/>
  <c r="W236" i="2"/>
  <c r="T236" i="2"/>
  <c r="S236" i="2"/>
  <c r="N236" i="2"/>
  <c r="AC235" i="2"/>
  <c r="AB235" i="2"/>
  <c r="AA235" i="2"/>
  <c r="Y235" i="2"/>
  <c r="W235" i="2"/>
  <c r="T235" i="2"/>
  <c r="S235" i="2"/>
  <c r="N235" i="2"/>
  <c r="AC234" i="2"/>
  <c r="AB234" i="2"/>
  <c r="AA234" i="2"/>
  <c r="Y234" i="2"/>
  <c r="W234" i="2"/>
  <c r="T234" i="2"/>
  <c r="S234" i="2"/>
  <c r="N234" i="2"/>
  <c r="AC233" i="2"/>
  <c r="AB233" i="2"/>
  <c r="AA233" i="2"/>
  <c r="Y233" i="2"/>
  <c r="W233" i="2"/>
  <c r="T233" i="2"/>
  <c r="S233" i="2"/>
  <c r="N233" i="2"/>
  <c r="AC232" i="2"/>
  <c r="AB232" i="2"/>
  <c r="AA232" i="2"/>
  <c r="Y232" i="2"/>
  <c r="W232" i="2"/>
  <c r="T232" i="2"/>
  <c r="S232" i="2"/>
  <c r="N232" i="2"/>
  <c r="AC231" i="2"/>
  <c r="AB231" i="2"/>
  <c r="AA231" i="2"/>
  <c r="Y231" i="2"/>
  <c r="W231" i="2"/>
  <c r="T231" i="2"/>
  <c r="S231" i="2"/>
  <c r="N231" i="2"/>
  <c r="AC230" i="2"/>
  <c r="AB230" i="2"/>
  <c r="AA230" i="2"/>
  <c r="Y230" i="2"/>
  <c r="W230" i="2"/>
  <c r="T230" i="2"/>
  <c r="S230" i="2"/>
  <c r="N230" i="2"/>
  <c r="AC229" i="2"/>
  <c r="AB229" i="2"/>
  <c r="AA229" i="2"/>
  <c r="Y229" i="2"/>
  <c r="W229" i="2"/>
  <c r="T229" i="2"/>
  <c r="S229" i="2"/>
  <c r="N229" i="2"/>
  <c r="AC228" i="2"/>
  <c r="AB228" i="2"/>
  <c r="AA228" i="2"/>
  <c r="Y228" i="2"/>
  <c r="W228" i="2"/>
  <c r="T228" i="2"/>
  <c r="S228" i="2"/>
  <c r="N228" i="2"/>
  <c r="AC227" i="2"/>
  <c r="AB227" i="2"/>
  <c r="AA227" i="2"/>
  <c r="Y227" i="2"/>
  <c r="W227" i="2"/>
  <c r="T227" i="2"/>
  <c r="S227" i="2"/>
  <c r="N227" i="2"/>
  <c r="AC226" i="2"/>
  <c r="AB226" i="2"/>
  <c r="AA226" i="2"/>
  <c r="Y226" i="2"/>
  <c r="W226" i="2"/>
  <c r="T226" i="2"/>
  <c r="S226" i="2"/>
  <c r="N226" i="2"/>
  <c r="AC225" i="2"/>
  <c r="AB225" i="2"/>
  <c r="AA225" i="2"/>
  <c r="Y225" i="2"/>
  <c r="W225" i="2"/>
  <c r="T225" i="2"/>
  <c r="S225" i="2"/>
  <c r="N225" i="2"/>
  <c r="AC224" i="2"/>
  <c r="AB224" i="2"/>
  <c r="AA224" i="2"/>
  <c r="Y224" i="2"/>
  <c r="W224" i="2"/>
  <c r="T224" i="2"/>
  <c r="S224" i="2"/>
  <c r="N224" i="2"/>
  <c r="AC223" i="2"/>
  <c r="AB223" i="2"/>
  <c r="AA223" i="2"/>
  <c r="Y223" i="2"/>
  <c r="W223" i="2"/>
  <c r="T223" i="2"/>
  <c r="S223" i="2"/>
  <c r="N223" i="2"/>
  <c r="AC222" i="2"/>
  <c r="AB222" i="2"/>
  <c r="AA222" i="2"/>
  <c r="Y222" i="2"/>
  <c r="W222" i="2"/>
  <c r="T222" i="2"/>
  <c r="S222" i="2"/>
  <c r="N222" i="2"/>
  <c r="AC221" i="2"/>
  <c r="AB221" i="2"/>
  <c r="AA221" i="2"/>
  <c r="Y221" i="2"/>
  <c r="W221" i="2"/>
  <c r="T221" i="2"/>
  <c r="S221" i="2"/>
  <c r="N221" i="2"/>
  <c r="AC220" i="2"/>
  <c r="AB220" i="2"/>
  <c r="AA220" i="2"/>
  <c r="Y220" i="2"/>
  <c r="W220" i="2"/>
  <c r="T220" i="2"/>
  <c r="S220" i="2"/>
  <c r="N220" i="2"/>
  <c r="AC219" i="2"/>
  <c r="AB219" i="2"/>
  <c r="AA219" i="2"/>
  <c r="Y219" i="2"/>
  <c r="W219" i="2"/>
  <c r="T219" i="2"/>
  <c r="S219" i="2"/>
  <c r="N219" i="2"/>
  <c r="AC218" i="2"/>
  <c r="AB218" i="2"/>
  <c r="AA218" i="2"/>
  <c r="Y218" i="2"/>
  <c r="W218" i="2"/>
  <c r="T218" i="2"/>
  <c r="S218" i="2"/>
  <c r="N218" i="2"/>
  <c r="AC217" i="2"/>
  <c r="AB217" i="2"/>
  <c r="AA217" i="2"/>
  <c r="Y217" i="2"/>
  <c r="W217" i="2"/>
  <c r="T217" i="2"/>
  <c r="S217" i="2"/>
  <c r="N217" i="2"/>
  <c r="AC216" i="2"/>
  <c r="AB216" i="2"/>
  <c r="AA216" i="2"/>
  <c r="Y216" i="2"/>
  <c r="W216" i="2"/>
  <c r="T216" i="2"/>
  <c r="S216" i="2"/>
  <c r="N216" i="2"/>
  <c r="AC215" i="2"/>
  <c r="AB215" i="2"/>
  <c r="AA215" i="2"/>
  <c r="Y215" i="2"/>
  <c r="W215" i="2"/>
  <c r="T215" i="2"/>
  <c r="S215" i="2"/>
  <c r="N215" i="2"/>
  <c r="AC214" i="2"/>
  <c r="AB214" i="2"/>
  <c r="AA214" i="2"/>
  <c r="Y214" i="2"/>
  <c r="W214" i="2"/>
  <c r="T214" i="2"/>
  <c r="S214" i="2"/>
  <c r="N214" i="2"/>
  <c r="AC213" i="2"/>
  <c r="AB213" i="2"/>
  <c r="AA213" i="2"/>
  <c r="Y213" i="2"/>
  <c r="W213" i="2"/>
  <c r="T213" i="2"/>
  <c r="S213" i="2"/>
  <c r="N213" i="2"/>
  <c r="AC212" i="2"/>
  <c r="AB212" i="2"/>
  <c r="AA212" i="2"/>
  <c r="Y212" i="2"/>
  <c r="W212" i="2"/>
  <c r="T212" i="2"/>
  <c r="S212" i="2"/>
  <c r="N212" i="2"/>
  <c r="AC211" i="2"/>
  <c r="AB211" i="2"/>
  <c r="AA211" i="2"/>
  <c r="Y211" i="2"/>
  <c r="W211" i="2"/>
  <c r="T211" i="2"/>
  <c r="S211" i="2"/>
  <c r="N211" i="2"/>
  <c r="AC210" i="2"/>
  <c r="AB210" i="2"/>
  <c r="AA210" i="2"/>
  <c r="Y210" i="2"/>
  <c r="W210" i="2"/>
  <c r="T210" i="2"/>
  <c r="S210" i="2"/>
  <c r="N210" i="2"/>
  <c r="AC209" i="2"/>
  <c r="AB209" i="2"/>
  <c r="AA209" i="2"/>
  <c r="Y209" i="2"/>
  <c r="W209" i="2"/>
  <c r="T209" i="2"/>
  <c r="S209" i="2"/>
  <c r="N209" i="2"/>
  <c r="AC208" i="2"/>
  <c r="AB208" i="2"/>
  <c r="AA208" i="2"/>
  <c r="Y208" i="2"/>
  <c r="W208" i="2"/>
  <c r="T208" i="2"/>
  <c r="S208" i="2"/>
  <c r="N208" i="2"/>
  <c r="AC207" i="2"/>
  <c r="AB207" i="2"/>
  <c r="AA207" i="2"/>
  <c r="Y207" i="2"/>
  <c r="W207" i="2"/>
  <c r="T207" i="2"/>
  <c r="S207" i="2"/>
  <c r="N207" i="2"/>
  <c r="AC206" i="2"/>
  <c r="AB206" i="2"/>
  <c r="AA206" i="2"/>
  <c r="Y206" i="2"/>
  <c r="W206" i="2"/>
  <c r="T206" i="2"/>
  <c r="S206" i="2"/>
  <c r="N206" i="2"/>
  <c r="AC205" i="2"/>
  <c r="AB205" i="2"/>
  <c r="AA205" i="2"/>
  <c r="Y205" i="2"/>
  <c r="W205" i="2"/>
  <c r="T205" i="2"/>
  <c r="S205" i="2"/>
  <c r="N205" i="2"/>
  <c r="AC204" i="2"/>
  <c r="AB204" i="2"/>
  <c r="AA204" i="2"/>
  <c r="Y204" i="2"/>
  <c r="W204" i="2"/>
  <c r="T204" i="2"/>
  <c r="S204" i="2"/>
  <c r="N204" i="2"/>
  <c r="AC203" i="2"/>
  <c r="AB203" i="2"/>
  <c r="AA203" i="2"/>
  <c r="Y203" i="2"/>
  <c r="W203" i="2"/>
  <c r="T203" i="2"/>
  <c r="S203" i="2"/>
  <c r="N203" i="2"/>
  <c r="AC202" i="2"/>
  <c r="AB202" i="2"/>
  <c r="AA202" i="2"/>
  <c r="Y202" i="2"/>
  <c r="W202" i="2"/>
  <c r="T202" i="2"/>
  <c r="S202" i="2"/>
  <c r="N202" i="2"/>
  <c r="AC201" i="2"/>
  <c r="AB201" i="2"/>
  <c r="AA201" i="2"/>
  <c r="Y201" i="2"/>
  <c r="W201" i="2"/>
  <c r="T201" i="2"/>
  <c r="S201" i="2"/>
  <c r="N201" i="2"/>
  <c r="AC200" i="2"/>
  <c r="AB200" i="2"/>
  <c r="AA200" i="2"/>
  <c r="Y200" i="2"/>
  <c r="W200" i="2"/>
  <c r="T200" i="2"/>
  <c r="S200" i="2"/>
  <c r="N200" i="2"/>
  <c r="AC199" i="2"/>
  <c r="AB199" i="2"/>
  <c r="AA199" i="2"/>
  <c r="Y199" i="2"/>
  <c r="W199" i="2"/>
  <c r="T199" i="2"/>
  <c r="S199" i="2"/>
  <c r="N199" i="2"/>
  <c r="AC198" i="2"/>
  <c r="AB198" i="2"/>
  <c r="AA198" i="2"/>
  <c r="Y198" i="2"/>
  <c r="W198" i="2"/>
  <c r="T198" i="2"/>
  <c r="S198" i="2"/>
  <c r="N198" i="2"/>
  <c r="AC197" i="2"/>
  <c r="AB197" i="2"/>
  <c r="AA197" i="2"/>
  <c r="Y197" i="2"/>
  <c r="W197" i="2"/>
  <c r="T197" i="2"/>
  <c r="S197" i="2"/>
  <c r="N197" i="2"/>
  <c r="AC196" i="2"/>
  <c r="AB196" i="2"/>
  <c r="AA196" i="2"/>
  <c r="Y196" i="2"/>
  <c r="W196" i="2"/>
  <c r="T196" i="2"/>
  <c r="S196" i="2"/>
  <c r="N196" i="2"/>
  <c r="AC195" i="2"/>
  <c r="AB195" i="2"/>
  <c r="AA195" i="2"/>
  <c r="Y195" i="2"/>
  <c r="W195" i="2"/>
  <c r="T195" i="2"/>
  <c r="S195" i="2"/>
  <c r="N195" i="2"/>
  <c r="AC194" i="2"/>
  <c r="AB194" i="2"/>
  <c r="AA194" i="2"/>
  <c r="Y194" i="2"/>
  <c r="W194" i="2"/>
  <c r="T194" i="2"/>
  <c r="S194" i="2"/>
  <c r="N194" i="2"/>
  <c r="AC193" i="2"/>
  <c r="AB193" i="2"/>
  <c r="AA193" i="2"/>
  <c r="Y193" i="2"/>
  <c r="W193" i="2"/>
  <c r="T193" i="2"/>
  <c r="S193" i="2"/>
  <c r="N193" i="2"/>
  <c r="AC192" i="2"/>
  <c r="AB192" i="2"/>
  <c r="AA192" i="2"/>
  <c r="Y192" i="2"/>
  <c r="W192" i="2"/>
  <c r="T192" i="2"/>
  <c r="S192" i="2"/>
  <c r="N192" i="2"/>
  <c r="AC191" i="2"/>
  <c r="AB191" i="2"/>
  <c r="AA191" i="2"/>
  <c r="Y191" i="2"/>
  <c r="W191" i="2"/>
  <c r="T191" i="2"/>
  <c r="S191" i="2"/>
  <c r="N191" i="2"/>
  <c r="AC190" i="2"/>
  <c r="AB190" i="2"/>
  <c r="AA190" i="2"/>
  <c r="Y190" i="2"/>
  <c r="W190" i="2"/>
  <c r="T190" i="2"/>
  <c r="S190" i="2"/>
  <c r="N190" i="2"/>
  <c r="AC189" i="2"/>
  <c r="AB189" i="2"/>
  <c r="AA189" i="2"/>
  <c r="Y189" i="2"/>
  <c r="W189" i="2"/>
  <c r="T189" i="2"/>
  <c r="S189" i="2"/>
  <c r="N189" i="2"/>
  <c r="AC188" i="2"/>
  <c r="AB188" i="2"/>
  <c r="AA188" i="2"/>
  <c r="Y188" i="2"/>
  <c r="W188" i="2"/>
  <c r="T188" i="2"/>
  <c r="S188" i="2"/>
  <c r="N188" i="2"/>
  <c r="AC187" i="2"/>
  <c r="AB187" i="2"/>
  <c r="AA187" i="2"/>
  <c r="Y187" i="2"/>
  <c r="W187" i="2"/>
  <c r="T187" i="2"/>
  <c r="S187" i="2"/>
  <c r="N187" i="2"/>
  <c r="AC186" i="2"/>
  <c r="AB186" i="2"/>
  <c r="AA186" i="2"/>
  <c r="Y186" i="2"/>
  <c r="W186" i="2"/>
  <c r="T186" i="2"/>
  <c r="S186" i="2"/>
  <c r="N186" i="2"/>
  <c r="AC185" i="2"/>
  <c r="AB185" i="2"/>
  <c r="AA185" i="2"/>
  <c r="Y185" i="2"/>
  <c r="W185" i="2"/>
  <c r="T185" i="2"/>
  <c r="S185" i="2"/>
  <c r="N185" i="2"/>
  <c r="AC184" i="2"/>
  <c r="AB184" i="2"/>
  <c r="AA184" i="2"/>
  <c r="Y184" i="2"/>
  <c r="W184" i="2"/>
  <c r="T184" i="2"/>
  <c r="S184" i="2"/>
  <c r="N184" i="2"/>
  <c r="AC183" i="2"/>
  <c r="AB183" i="2"/>
  <c r="AA183" i="2"/>
  <c r="Y183" i="2"/>
  <c r="W183" i="2"/>
  <c r="T183" i="2"/>
  <c r="S183" i="2"/>
  <c r="N183" i="2"/>
  <c r="AC182" i="2"/>
  <c r="AB182" i="2"/>
  <c r="AA182" i="2"/>
  <c r="Y182" i="2"/>
  <c r="W182" i="2"/>
  <c r="T182" i="2"/>
  <c r="S182" i="2"/>
  <c r="N182" i="2"/>
  <c r="AC181" i="2"/>
  <c r="AB181" i="2"/>
  <c r="AA181" i="2"/>
  <c r="Y181" i="2"/>
  <c r="W181" i="2"/>
  <c r="T181" i="2"/>
  <c r="S181" i="2"/>
  <c r="N181" i="2"/>
  <c r="AC180" i="2"/>
  <c r="AB180" i="2"/>
  <c r="AA180" i="2"/>
  <c r="Y180" i="2"/>
  <c r="W180" i="2"/>
  <c r="T180" i="2"/>
  <c r="S180" i="2"/>
  <c r="N180" i="2"/>
  <c r="AC179" i="2"/>
  <c r="AB179" i="2"/>
  <c r="AA179" i="2"/>
  <c r="Y179" i="2"/>
  <c r="W179" i="2"/>
  <c r="T179" i="2"/>
  <c r="S179" i="2"/>
  <c r="N179" i="2"/>
  <c r="AC178" i="2"/>
  <c r="AB178" i="2"/>
  <c r="AA178" i="2"/>
  <c r="Y178" i="2"/>
  <c r="W178" i="2"/>
  <c r="T178" i="2"/>
  <c r="S178" i="2"/>
  <c r="N178" i="2"/>
  <c r="AC177" i="2"/>
  <c r="AB177" i="2"/>
  <c r="AA177" i="2"/>
  <c r="Y177" i="2"/>
  <c r="W177" i="2"/>
  <c r="T177" i="2"/>
  <c r="S177" i="2"/>
  <c r="N177" i="2"/>
  <c r="AC176" i="2"/>
  <c r="AB176" i="2"/>
  <c r="AA176" i="2"/>
  <c r="Y176" i="2"/>
  <c r="W176" i="2"/>
  <c r="T176" i="2"/>
  <c r="S176" i="2"/>
  <c r="N176" i="2"/>
  <c r="AC175" i="2"/>
  <c r="AB175" i="2"/>
  <c r="AA175" i="2"/>
  <c r="Y175" i="2"/>
  <c r="W175" i="2"/>
  <c r="T175" i="2"/>
  <c r="S175" i="2"/>
  <c r="N175" i="2"/>
  <c r="AC174" i="2"/>
  <c r="AB174" i="2"/>
  <c r="AA174" i="2"/>
  <c r="Y174" i="2"/>
  <c r="W174" i="2"/>
  <c r="T174" i="2"/>
  <c r="S174" i="2"/>
  <c r="N174" i="2"/>
  <c r="AC173" i="2"/>
  <c r="AB173" i="2"/>
  <c r="AA173" i="2"/>
  <c r="Y173" i="2"/>
  <c r="W173" i="2"/>
  <c r="T173" i="2"/>
  <c r="S173" i="2"/>
  <c r="N173" i="2"/>
  <c r="AC172" i="2"/>
  <c r="AB172" i="2"/>
  <c r="AA172" i="2"/>
  <c r="Y172" i="2"/>
  <c r="W172" i="2"/>
  <c r="T172" i="2"/>
  <c r="S172" i="2"/>
  <c r="N172" i="2"/>
  <c r="AC171" i="2"/>
  <c r="AB171" i="2"/>
  <c r="AA171" i="2"/>
  <c r="Y171" i="2"/>
  <c r="W171" i="2"/>
  <c r="T171" i="2"/>
  <c r="S171" i="2"/>
  <c r="N171" i="2"/>
  <c r="AC170" i="2"/>
  <c r="AB170" i="2"/>
  <c r="AA170" i="2"/>
  <c r="Y170" i="2"/>
  <c r="W170" i="2"/>
  <c r="T170" i="2"/>
  <c r="S170" i="2"/>
  <c r="N170" i="2"/>
  <c r="AC169" i="2"/>
  <c r="AB169" i="2"/>
  <c r="AA169" i="2"/>
  <c r="Y169" i="2"/>
  <c r="W169" i="2"/>
  <c r="T169" i="2"/>
  <c r="S169" i="2"/>
  <c r="N169" i="2"/>
  <c r="AC168" i="2"/>
  <c r="AB168" i="2"/>
  <c r="AA168" i="2"/>
  <c r="Y168" i="2"/>
  <c r="W168" i="2"/>
  <c r="T168" i="2"/>
  <c r="S168" i="2"/>
  <c r="N168" i="2"/>
  <c r="AC167" i="2"/>
  <c r="AB167" i="2"/>
  <c r="AA167" i="2"/>
  <c r="Y167" i="2"/>
  <c r="W167" i="2"/>
  <c r="T167" i="2"/>
  <c r="S167" i="2"/>
  <c r="N167" i="2"/>
  <c r="AC166" i="2"/>
  <c r="AB166" i="2"/>
  <c r="AA166" i="2"/>
  <c r="Y166" i="2"/>
  <c r="W166" i="2"/>
  <c r="T166" i="2"/>
  <c r="S166" i="2"/>
  <c r="N166" i="2"/>
  <c r="AC165" i="2"/>
  <c r="AB165" i="2"/>
  <c r="AA165" i="2"/>
  <c r="Y165" i="2"/>
  <c r="W165" i="2"/>
  <c r="T165" i="2"/>
  <c r="S165" i="2"/>
  <c r="N165" i="2"/>
  <c r="AC164" i="2"/>
  <c r="AB164" i="2"/>
  <c r="AA164" i="2"/>
  <c r="Y164" i="2"/>
  <c r="W164" i="2"/>
  <c r="T164" i="2"/>
  <c r="S164" i="2"/>
  <c r="N164" i="2"/>
  <c r="AC163" i="2"/>
  <c r="AB163" i="2"/>
  <c r="AA163" i="2"/>
  <c r="Y163" i="2"/>
  <c r="W163" i="2"/>
  <c r="T163" i="2"/>
  <c r="S163" i="2"/>
  <c r="N163" i="2"/>
  <c r="AC162" i="2"/>
  <c r="AB162" i="2"/>
  <c r="AA162" i="2"/>
  <c r="Y162" i="2"/>
  <c r="W162" i="2"/>
  <c r="T162" i="2"/>
  <c r="S162" i="2"/>
  <c r="N162" i="2"/>
  <c r="AC161" i="2"/>
  <c r="AB161" i="2"/>
  <c r="AA161" i="2"/>
  <c r="Y161" i="2"/>
  <c r="W161" i="2"/>
  <c r="T161" i="2"/>
  <c r="S161" i="2"/>
  <c r="N161" i="2"/>
  <c r="AC160" i="2"/>
  <c r="AB160" i="2"/>
  <c r="AA160" i="2"/>
  <c r="Y160" i="2"/>
  <c r="W160" i="2"/>
  <c r="T160" i="2"/>
  <c r="S160" i="2"/>
  <c r="N160" i="2"/>
  <c r="AC159" i="2"/>
  <c r="AB159" i="2"/>
  <c r="AA159" i="2"/>
  <c r="Y159" i="2"/>
  <c r="W159" i="2"/>
  <c r="T159" i="2"/>
  <c r="S159" i="2"/>
  <c r="N159" i="2"/>
  <c r="AC158" i="2"/>
  <c r="AB158" i="2"/>
  <c r="AA158" i="2"/>
  <c r="Y158" i="2"/>
  <c r="W158" i="2"/>
  <c r="T158" i="2"/>
  <c r="S158" i="2"/>
  <c r="N158" i="2"/>
  <c r="AC157" i="2"/>
  <c r="AB157" i="2"/>
  <c r="AA157" i="2"/>
  <c r="Y157" i="2"/>
  <c r="W157" i="2"/>
  <c r="T157" i="2"/>
  <c r="S157" i="2"/>
  <c r="N157" i="2"/>
  <c r="AC156" i="2"/>
  <c r="AB156" i="2"/>
  <c r="AA156" i="2"/>
  <c r="Y156" i="2"/>
  <c r="W156" i="2"/>
  <c r="T156" i="2"/>
  <c r="S156" i="2"/>
  <c r="N156" i="2"/>
  <c r="AC155" i="2"/>
  <c r="AB155" i="2"/>
  <c r="AA155" i="2"/>
  <c r="Y155" i="2"/>
  <c r="W155" i="2"/>
  <c r="T155" i="2"/>
  <c r="S155" i="2"/>
  <c r="N155" i="2"/>
  <c r="AC154" i="2"/>
  <c r="AB154" i="2"/>
  <c r="AA154" i="2"/>
  <c r="Y154" i="2"/>
  <c r="W154" i="2"/>
  <c r="T154" i="2"/>
  <c r="S154" i="2"/>
  <c r="N154" i="2"/>
  <c r="AC153" i="2"/>
  <c r="AB153" i="2"/>
  <c r="AA153" i="2"/>
  <c r="Y153" i="2"/>
  <c r="W153" i="2"/>
  <c r="T153" i="2"/>
  <c r="S153" i="2"/>
  <c r="N153" i="2"/>
  <c r="AC152" i="2"/>
  <c r="AB152" i="2"/>
  <c r="AA152" i="2"/>
  <c r="Y152" i="2"/>
  <c r="W152" i="2"/>
  <c r="T152" i="2"/>
  <c r="S152" i="2"/>
  <c r="N152" i="2"/>
  <c r="AC151" i="2"/>
  <c r="AB151" i="2"/>
  <c r="AA151" i="2"/>
  <c r="Y151" i="2"/>
  <c r="W151" i="2"/>
  <c r="T151" i="2"/>
  <c r="S151" i="2"/>
  <c r="N151" i="2"/>
  <c r="AC150" i="2"/>
  <c r="AB150" i="2"/>
  <c r="AA150" i="2"/>
  <c r="Y150" i="2"/>
  <c r="W150" i="2"/>
  <c r="T150" i="2"/>
  <c r="S150" i="2"/>
  <c r="N150" i="2"/>
  <c r="AC149" i="2"/>
  <c r="AB149" i="2"/>
  <c r="AA149" i="2"/>
  <c r="Y149" i="2"/>
  <c r="W149" i="2"/>
  <c r="T149" i="2"/>
  <c r="S149" i="2"/>
  <c r="N149" i="2"/>
  <c r="AC148" i="2"/>
  <c r="AB148" i="2"/>
  <c r="AA148" i="2"/>
  <c r="Y148" i="2"/>
  <c r="W148" i="2"/>
  <c r="T148" i="2"/>
  <c r="S148" i="2"/>
  <c r="N148" i="2"/>
  <c r="AC147" i="2"/>
  <c r="AB147" i="2"/>
  <c r="AA147" i="2"/>
  <c r="Y147" i="2"/>
  <c r="W147" i="2"/>
  <c r="T147" i="2"/>
  <c r="S147" i="2"/>
  <c r="N147" i="2"/>
  <c r="AC146" i="2"/>
  <c r="AB146" i="2"/>
  <c r="AA146" i="2"/>
  <c r="Y146" i="2"/>
  <c r="W146" i="2"/>
  <c r="T146" i="2"/>
  <c r="S146" i="2"/>
  <c r="N146" i="2"/>
  <c r="AC145" i="2"/>
  <c r="AB145" i="2"/>
  <c r="AA145" i="2"/>
  <c r="Y145" i="2"/>
  <c r="W145" i="2"/>
  <c r="T145" i="2"/>
  <c r="S145" i="2"/>
  <c r="N145" i="2"/>
  <c r="AC144" i="2"/>
  <c r="AB144" i="2"/>
  <c r="AA144" i="2"/>
  <c r="Y144" i="2"/>
  <c r="W144" i="2"/>
  <c r="T144" i="2"/>
  <c r="S144" i="2"/>
  <c r="N144" i="2"/>
  <c r="AC143" i="2"/>
  <c r="AB143" i="2"/>
  <c r="AA143" i="2"/>
  <c r="Y143" i="2"/>
  <c r="W143" i="2"/>
  <c r="T143" i="2"/>
  <c r="S143" i="2"/>
  <c r="N143" i="2"/>
  <c r="AC142" i="2"/>
  <c r="AB142" i="2"/>
  <c r="AA142" i="2"/>
  <c r="Y142" i="2"/>
  <c r="W142" i="2"/>
  <c r="T142" i="2"/>
  <c r="S142" i="2"/>
  <c r="N142" i="2"/>
  <c r="AC141" i="2"/>
  <c r="AB141" i="2"/>
  <c r="AA141" i="2"/>
  <c r="Y141" i="2"/>
  <c r="W141" i="2"/>
  <c r="T141" i="2"/>
  <c r="S141" i="2"/>
  <c r="N141" i="2"/>
  <c r="AC140" i="2"/>
  <c r="AB140" i="2"/>
  <c r="AA140" i="2"/>
  <c r="Y140" i="2"/>
  <c r="W140" i="2"/>
  <c r="T140" i="2"/>
  <c r="S140" i="2"/>
  <c r="N140" i="2"/>
  <c r="AC139" i="2"/>
  <c r="AB139" i="2"/>
  <c r="AA139" i="2"/>
  <c r="Y139" i="2"/>
  <c r="W139" i="2"/>
  <c r="T139" i="2"/>
  <c r="S139" i="2"/>
  <c r="N139" i="2"/>
  <c r="AC138" i="2"/>
  <c r="AB138" i="2"/>
  <c r="AA138" i="2"/>
  <c r="Y138" i="2"/>
  <c r="W138" i="2"/>
  <c r="T138" i="2"/>
  <c r="S138" i="2"/>
  <c r="N138" i="2"/>
  <c r="AC137" i="2"/>
  <c r="AB137" i="2"/>
  <c r="AA137" i="2"/>
  <c r="Y137" i="2"/>
  <c r="W137" i="2"/>
  <c r="T137" i="2"/>
  <c r="S137" i="2"/>
  <c r="N137" i="2"/>
  <c r="AC136" i="2"/>
  <c r="AB136" i="2"/>
  <c r="AA136" i="2"/>
  <c r="Y136" i="2"/>
  <c r="W136" i="2"/>
  <c r="T136" i="2"/>
  <c r="S136" i="2"/>
  <c r="N136" i="2"/>
  <c r="AC135" i="2"/>
  <c r="AB135" i="2"/>
  <c r="AA135" i="2"/>
  <c r="Y135" i="2"/>
  <c r="W135" i="2"/>
  <c r="T135" i="2"/>
  <c r="S135" i="2"/>
  <c r="N135" i="2"/>
  <c r="AC134" i="2"/>
  <c r="AB134" i="2"/>
  <c r="AA134" i="2"/>
  <c r="Y134" i="2"/>
  <c r="W134" i="2"/>
  <c r="T134" i="2"/>
  <c r="S134" i="2"/>
  <c r="N134" i="2"/>
  <c r="AC133" i="2"/>
  <c r="AB133" i="2"/>
  <c r="AA133" i="2"/>
  <c r="Y133" i="2"/>
  <c r="W133" i="2"/>
  <c r="T133" i="2"/>
  <c r="S133" i="2"/>
  <c r="N133" i="2"/>
  <c r="AC132" i="2"/>
  <c r="AB132" i="2"/>
  <c r="AA132" i="2"/>
  <c r="Y132" i="2"/>
  <c r="W132" i="2"/>
  <c r="T132" i="2"/>
  <c r="S132" i="2"/>
  <c r="N132" i="2"/>
  <c r="AC131" i="2"/>
  <c r="AB131" i="2"/>
  <c r="AA131" i="2"/>
  <c r="Y131" i="2"/>
  <c r="W131" i="2"/>
  <c r="T131" i="2"/>
  <c r="S131" i="2"/>
  <c r="N131" i="2"/>
  <c r="AC130" i="2"/>
  <c r="AB130" i="2"/>
  <c r="AA130" i="2"/>
  <c r="Y130" i="2"/>
  <c r="W130" i="2"/>
  <c r="T130" i="2"/>
  <c r="S130" i="2"/>
  <c r="N130" i="2"/>
  <c r="AC129" i="2"/>
  <c r="AB129" i="2"/>
  <c r="AA129" i="2"/>
  <c r="Y129" i="2"/>
  <c r="W129" i="2"/>
  <c r="T129" i="2"/>
  <c r="S129" i="2"/>
  <c r="N129" i="2"/>
  <c r="AC128" i="2"/>
  <c r="AB128" i="2"/>
  <c r="AA128" i="2"/>
  <c r="Y128" i="2"/>
  <c r="W128" i="2"/>
  <c r="T128" i="2"/>
  <c r="S128" i="2"/>
  <c r="N128" i="2"/>
  <c r="AC127" i="2"/>
  <c r="AB127" i="2"/>
  <c r="AA127" i="2"/>
  <c r="Y127" i="2"/>
  <c r="W127" i="2"/>
  <c r="T127" i="2"/>
  <c r="S127" i="2"/>
  <c r="N127" i="2"/>
  <c r="AC126" i="2"/>
  <c r="AB126" i="2"/>
  <c r="AA126" i="2"/>
  <c r="Y126" i="2"/>
  <c r="W126" i="2"/>
  <c r="T126" i="2"/>
  <c r="S126" i="2"/>
  <c r="N126" i="2"/>
  <c r="AC125" i="2"/>
  <c r="AB125" i="2"/>
  <c r="AA125" i="2"/>
  <c r="Y125" i="2"/>
  <c r="W125" i="2"/>
  <c r="T125" i="2"/>
  <c r="S125" i="2"/>
  <c r="N125" i="2"/>
  <c r="AC124" i="2"/>
  <c r="AB124" i="2"/>
  <c r="AA124" i="2"/>
  <c r="Y124" i="2"/>
  <c r="W124" i="2"/>
  <c r="T124" i="2"/>
  <c r="S124" i="2"/>
  <c r="N124" i="2"/>
  <c r="AC123" i="2"/>
  <c r="AB123" i="2"/>
  <c r="AA123" i="2"/>
  <c r="Y123" i="2"/>
  <c r="W123" i="2"/>
  <c r="T123" i="2"/>
  <c r="S123" i="2"/>
  <c r="N123" i="2"/>
  <c r="AC122" i="2"/>
  <c r="AB122" i="2"/>
  <c r="AA122" i="2"/>
  <c r="Y122" i="2"/>
  <c r="W122" i="2"/>
  <c r="S122" i="2"/>
  <c r="N122" i="2"/>
  <c r="AC121" i="2"/>
  <c r="AB121" i="2"/>
  <c r="AA121" i="2"/>
  <c r="Y121" i="2"/>
  <c r="W121" i="2"/>
  <c r="S121" i="2"/>
  <c r="N121" i="2"/>
  <c r="AC120" i="2"/>
  <c r="AB120" i="2"/>
  <c r="AA120" i="2"/>
  <c r="Y120" i="2"/>
  <c r="W120" i="2"/>
  <c r="S120" i="2"/>
  <c r="N120" i="2"/>
  <c r="AC119" i="2"/>
  <c r="AB119" i="2"/>
  <c r="AA119" i="2"/>
  <c r="Y119" i="2"/>
  <c r="W119" i="2"/>
  <c r="S119" i="2"/>
  <c r="N119" i="2"/>
  <c r="AC118" i="2"/>
  <c r="AB118" i="2"/>
  <c r="AA118" i="2"/>
  <c r="Y118" i="2"/>
  <c r="W118" i="2"/>
  <c r="S118" i="2"/>
  <c r="N118" i="2"/>
  <c r="AC117" i="2"/>
  <c r="AB117" i="2"/>
  <c r="AA117" i="2"/>
  <c r="Y117" i="2"/>
  <c r="W117" i="2"/>
  <c r="S117" i="2"/>
  <c r="N117" i="2"/>
  <c r="AC116" i="2"/>
  <c r="AB116" i="2"/>
  <c r="AA116" i="2"/>
  <c r="Y116" i="2"/>
  <c r="W116" i="2"/>
  <c r="S116" i="2"/>
  <c r="N116" i="2"/>
  <c r="AC115" i="2"/>
  <c r="AB115" i="2"/>
  <c r="AA115" i="2"/>
  <c r="Y115" i="2"/>
  <c r="W115" i="2"/>
  <c r="S115" i="2"/>
  <c r="N115" i="2"/>
  <c r="AC114" i="2"/>
  <c r="AB114" i="2"/>
  <c r="AA114" i="2"/>
  <c r="Y114" i="2"/>
  <c r="W114" i="2"/>
  <c r="S114" i="2"/>
  <c r="N114" i="2"/>
  <c r="AC113" i="2"/>
  <c r="AB113" i="2"/>
  <c r="AA113" i="2"/>
  <c r="Y113" i="2"/>
  <c r="W113" i="2"/>
  <c r="S113" i="2"/>
  <c r="N113" i="2"/>
  <c r="AC112" i="2"/>
  <c r="AB112" i="2"/>
  <c r="AA112" i="2"/>
  <c r="Y112" i="2"/>
  <c r="W112" i="2"/>
  <c r="S112" i="2"/>
  <c r="N112" i="2"/>
  <c r="AC111" i="2"/>
  <c r="AB111" i="2"/>
  <c r="AA111" i="2"/>
  <c r="Y111" i="2"/>
  <c r="W111" i="2"/>
  <c r="S111" i="2"/>
  <c r="N111" i="2"/>
  <c r="AC110" i="2"/>
  <c r="AB110" i="2"/>
  <c r="AA110" i="2"/>
  <c r="Y110" i="2"/>
  <c r="W110" i="2"/>
  <c r="S110" i="2"/>
  <c r="N110" i="2"/>
  <c r="AC109" i="2"/>
  <c r="AB109" i="2"/>
  <c r="AA109" i="2"/>
  <c r="Y109" i="2"/>
  <c r="W109" i="2"/>
  <c r="S109" i="2"/>
  <c r="N109" i="2"/>
  <c r="AC108" i="2"/>
  <c r="AB108" i="2"/>
  <c r="AA108" i="2"/>
  <c r="Y108" i="2"/>
  <c r="W108" i="2"/>
  <c r="S108" i="2"/>
  <c r="N108" i="2"/>
  <c r="AC107" i="2"/>
  <c r="AB107" i="2"/>
  <c r="AA107" i="2"/>
  <c r="Y107" i="2"/>
  <c r="W107" i="2"/>
  <c r="S107" i="2"/>
  <c r="N107" i="2"/>
  <c r="AC106" i="2"/>
  <c r="AB106" i="2"/>
  <c r="AA106" i="2"/>
  <c r="Y106" i="2"/>
  <c r="W106" i="2"/>
  <c r="S106" i="2"/>
  <c r="N106" i="2"/>
  <c r="AC105" i="2"/>
  <c r="AB105" i="2"/>
  <c r="AA105" i="2"/>
  <c r="Y105" i="2"/>
  <c r="W105" i="2"/>
  <c r="S105" i="2"/>
  <c r="N105" i="2"/>
  <c r="AC104" i="2"/>
  <c r="AB104" i="2"/>
  <c r="AA104" i="2"/>
  <c r="Y104" i="2"/>
  <c r="W104" i="2"/>
  <c r="S104" i="2"/>
  <c r="N104" i="2"/>
  <c r="AC103" i="2"/>
  <c r="AB103" i="2"/>
  <c r="AA103" i="2"/>
  <c r="Y103" i="2"/>
  <c r="W103" i="2"/>
  <c r="S103" i="2"/>
  <c r="N103" i="2"/>
  <c r="AC102" i="2"/>
  <c r="AB102" i="2"/>
  <c r="AA102" i="2"/>
  <c r="Y102" i="2"/>
  <c r="W102" i="2"/>
  <c r="S102" i="2"/>
  <c r="N102" i="2"/>
  <c r="AC101" i="2"/>
  <c r="AB101" i="2"/>
  <c r="AA101" i="2"/>
  <c r="Y101" i="2"/>
  <c r="W101" i="2"/>
  <c r="S101" i="2"/>
  <c r="N101" i="2"/>
  <c r="AC100" i="2"/>
  <c r="AB100" i="2"/>
  <c r="AA100" i="2"/>
  <c r="Y100" i="2"/>
  <c r="W100" i="2"/>
  <c r="S100" i="2"/>
  <c r="N100" i="2"/>
  <c r="AC99" i="2"/>
  <c r="AB99" i="2"/>
  <c r="AA99" i="2"/>
  <c r="Y99" i="2"/>
  <c r="W99" i="2"/>
  <c r="S99" i="2"/>
  <c r="N99" i="2"/>
  <c r="AC98" i="2"/>
  <c r="AB98" i="2"/>
  <c r="AA98" i="2"/>
  <c r="Y98" i="2"/>
  <c r="W98" i="2"/>
  <c r="S98" i="2"/>
  <c r="N98" i="2"/>
  <c r="AC97" i="2"/>
  <c r="AB97" i="2"/>
  <c r="AA97" i="2"/>
  <c r="Y97" i="2"/>
  <c r="W97" i="2"/>
  <c r="S97" i="2"/>
  <c r="N97" i="2"/>
  <c r="AC96" i="2"/>
  <c r="AB96" i="2"/>
  <c r="AA96" i="2"/>
  <c r="Y96" i="2"/>
  <c r="W96" i="2"/>
  <c r="S96" i="2"/>
  <c r="N96" i="2"/>
  <c r="AC95" i="2"/>
  <c r="AB95" i="2"/>
  <c r="AA95" i="2"/>
  <c r="Y95" i="2"/>
  <c r="W95" i="2"/>
  <c r="S95" i="2"/>
  <c r="N95" i="2"/>
  <c r="AC94" i="2"/>
  <c r="AB94" i="2"/>
  <c r="AA94" i="2"/>
  <c r="Y94" i="2"/>
  <c r="W94" i="2"/>
  <c r="S94" i="2"/>
  <c r="N94" i="2"/>
  <c r="AC93" i="2"/>
  <c r="AB93" i="2"/>
  <c r="AA93" i="2"/>
  <c r="Y93" i="2"/>
  <c r="W93" i="2"/>
  <c r="S93" i="2"/>
  <c r="N93" i="2"/>
  <c r="AC92" i="2"/>
  <c r="AB92" i="2"/>
  <c r="AA92" i="2"/>
  <c r="Y92" i="2"/>
  <c r="W92" i="2"/>
  <c r="S92" i="2"/>
  <c r="N92" i="2"/>
  <c r="AC91" i="2"/>
  <c r="AB91" i="2"/>
  <c r="AA91" i="2"/>
  <c r="Y91" i="2"/>
  <c r="W91" i="2"/>
  <c r="S91" i="2"/>
  <c r="N91" i="2"/>
  <c r="AC90" i="2"/>
  <c r="AB90" i="2"/>
  <c r="AA90" i="2"/>
  <c r="Y90" i="2"/>
  <c r="W90" i="2"/>
  <c r="S90" i="2"/>
  <c r="N90" i="2"/>
  <c r="AC89" i="2"/>
  <c r="AB89" i="2"/>
  <c r="AA89" i="2"/>
  <c r="Y89" i="2"/>
  <c r="W89" i="2"/>
  <c r="S89" i="2"/>
  <c r="N89" i="2"/>
  <c r="AC88" i="2"/>
  <c r="AB88" i="2"/>
  <c r="AA88" i="2"/>
  <c r="Y88" i="2"/>
  <c r="W88" i="2"/>
  <c r="S88" i="2"/>
  <c r="N88" i="2"/>
  <c r="AC87" i="2"/>
  <c r="AB87" i="2"/>
  <c r="AA87" i="2"/>
  <c r="Y87" i="2"/>
  <c r="W87" i="2"/>
  <c r="S87" i="2"/>
  <c r="N87" i="2"/>
  <c r="AC86" i="2"/>
  <c r="AB86" i="2"/>
  <c r="AA86" i="2"/>
  <c r="Y86" i="2"/>
  <c r="W86" i="2"/>
  <c r="S86" i="2"/>
  <c r="N86" i="2"/>
  <c r="AC85" i="2"/>
  <c r="AB85" i="2"/>
  <c r="AA85" i="2"/>
  <c r="Y85" i="2"/>
  <c r="W85" i="2"/>
  <c r="S85" i="2"/>
  <c r="N85" i="2"/>
  <c r="AC84" i="2"/>
  <c r="AB84" i="2"/>
  <c r="AA84" i="2"/>
  <c r="Y84" i="2"/>
  <c r="W84" i="2"/>
  <c r="S84" i="2"/>
  <c r="N84" i="2"/>
  <c r="AC83" i="2"/>
  <c r="AB83" i="2"/>
  <c r="AA83" i="2"/>
  <c r="Y83" i="2"/>
  <c r="W83" i="2"/>
  <c r="S83" i="2"/>
  <c r="N83" i="2"/>
  <c r="AC82" i="2"/>
  <c r="AB82" i="2"/>
  <c r="AA82" i="2"/>
  <c r="Y82" i="2"/>
  <c r="W82" i="2"/>
  <c r="S82" i="2"/>
  <c r="N82" i="2"/>
  <c r="AC81" i="2"/>
  <c r="AB81" i="2"/>
  <c r="AA81" i="2"/>
  <c r="Y81" i="2"/>
  <c r="W81" i="2"/>
  <c r="S81" i="2"/>
  <c r="N81" i="2"/>
  <c r="AC80" i="2"/>
  <c r="AB80" i="2"/>
  <c r="AA80" i="2"/>
  <c r="Y80" i="2"/>
  <c r="W80" i="2"/>
  <c r="S80" i="2"/>
  <c r="N80" i="2"/>
  <c r="AC79" i="2"/>
  <c r="AB79" i="2"/>
  <c r="AA79" i="2"/>
  <c r="Y79" i="2"/>
  <c r="W79" i="2"/>
  <c r="S79" i="2"/>
  <c r="N79" i="2"/>
  <c r="AC78" i="2"/>
  <c r="AB78" i="2"/>
  <c r="AA78" i="2"/>
  <c r="Y78" i="2"/>
  <c r="W78" i="2"/>
  <c r="S78" i="2"/>
  <c r="N78" i="2"/>
  <c r="AC77" i="2"/>
  <c r="AB77" i="2"/>
  <c r="AA77" i="2"/>
  <c r="Y77" i="2"/>
  <c r="W77" i="2"/>
  <c r="S77" i="2"/>
  <c r="N77" i="2"/>
  <c r="AC76" i="2"/>
  <c r="AB76" i="2"/>
  <c r="AA76" i="2"/>
  <c r="Y76" i="2"/>
  <c r="W76" i="2"/>
  <c r="S76" i="2"/>
  <c r="N76" i="2"/>
  <c r="AC75" i="2"/>
  <c r="AB75" i="2"/>
  <c r="AA75" i="2"/>
  <c r="Y75" i="2"/>
  <c r="W75" i="2"/>
  <c r="S75" i="2"/>
  <c r="N75" i="2"/>
  <c r="AC74" i="2"/>
  <c r="AB74" i="2"/>
  <c r="AA74" i="2"/>
  <c r="Y74" i="2"/>
  <c r="W74" i="2"/>
  <c r="S74" i="2"/>
  <c r="N74" i="2"/>
  <c r="AC73" i="2"/>
  <c r="AB73" i="2"/>
  <c r="AA73" i="2"/>
  <c r="Y73" i="2"/>
  <c r="W73" i="2"/>
  <c r="S73" i="2"/>
  <c r="N73" i="2"/>
  <c r="AC72" i="2"/>
  <c r="AB72" i="2"/>
  <c r="AA72" i="2"/>
  <c r="Y72" i="2"/>
  <c r="W72" i="2"/>
  <c r="S72" i="2"/>
  <c r="N72" i="2"/>
  <c r="AC71" i="2"/>
  <c r="AB71" i="2"/>
  <c r="AA71" i="2"/>
  <c r="Y71" i="2"/>
  <c r="W71" i="2"/>
  <c r="S71" i="2"/>
  <c r="N71" i="2"/>
  <c r="AC70" i="2"/>
  <c r="AB70" i="2"/>
  <c r="AA70" i="2"/>
  <c r="Y70" i="2"/>
  <c r="W70" i="2"/>
  <c r="S70" i="2"/>
  <c r="N70" i="2"/>
  <c r="AC69" i="2"/>
  <c r="AB69" i="2"/>
  <c r="AA69" i="2"/>
  <c r="Y69" i="2"/>
  <c r="W69" i="2"/>
  <c r="S69" i="2"/>
  <c r="N69" i="2"/>
  <c r="AC68" i="2"/>
  <c r="AB68" i="2"/>
  <c r="AA68" i="2"/>
  <c r="Y68" i="2"/>
  <c r="W68" i="2"/>
  <c r="S68" i="2"/>
  <c r="N68" i="2"/>
  <c r="AC67" i="2"/>
  <c r="AB67" i="2"/>
  <c r="AA67" i="2"/>
  <c r="Y67" i="2"/>
  <c r="W67" i="2"/>
  <c r="S67" i="2"/>
  <c r="N67" i="2"/>
  <c r="AC66" i="2"/>
  <c r="AB66" i="2"/>
  <c r="AA66" i="2"/>
  <c r="Y66" i="2"/>
  <c r="W66" i="2"/>
  <c r="S66" i="2"/>
  <c r="N66" i="2"/>
  <c r="AC65" i="2"/>
  <c r="AB65" i="2"/>
  <c r="AA65" i="2"/>
  <c r="Y65" i="2"/>
  <c r="W65" i="2"/>
  <c r="S65" i="2"/>
  <c r="N65" i="2"/>
  <c r="AC64" i="2"/>
  <c r="AB64" i="2"/>
  <c r="AA64" i="2"/>
  <c r="Y64" i="2"/>
  <c r="W64" i="2"/>
  <c r="S64" i="2"/>
  <c r="N64" i="2"/>
  <c r="AC63" i="2"/>
  <c r="AB63" i="2"/>
  <c r="AA63" i="2"/>
  <c r="Y63" i="2"/>
  <c r="W63" i="2"/>
  <c r="S63" i="2"/>
  <c r="N63" i="2"/>
  <c r="AC62" i="2"/>
  <c r="AB62" i="2"/>
  <c r="AA62" i="2"/>
  <c r="Y62" i="2"/>
  <c r="W62" i="2"/>
  <c r="S62" i="2"/>
  <c r="N62" i="2"/>
  <c r="AC61" i="2"/>
  <c r="AB61" i="2"/>
  <c r="AA61" i="2"/>
  <c r="Y61" i="2"/>
  <c r="W61" i="2"/>
  <c r="S61" i="2"/>
  <c r="N61" i="2"/>
  <c r="AC60" i="2"/>
  <c r="AB60" i="2"/>
  <c r="AA60" i="2"/>
  <c r="Y60" i="2"/>
  <c r="W60" i="2"/>
  <c r="S60" i="2"/>
  <c r="N60" i="2"/>
  <c r="AC59" i="2"/>
  <c r="AB59" i="2"/>
  <c r="AA59" i="2"/>
  <c r="Y59" i="2"/>
  <c r="W59" i="2"/>
  <c r="S59" i="2"/>
  <c r="N59" i="2"/>
  <c r="AC58" i="2"/>
  <c r="AB58" i="2"/>
  <c r="AA58" i="2"/>
  <c r="Y58" i="2"/>
  <c r="W58" i="2"/>
  <c r="N58" i="2"/>
  <c r="AC57" i="2"/>
  <c r="AB57" i="2"/>
  <c r="AA57" i="2"/>
  <c r="Y57" i="2"/>
  <c r="W57" i="2"/>
  <c r="N57" i="2"/>
  <c r="AC56" i="2"/>
  <c r="AB56" i="2"/>
  <c r="AA56" i="2"/>
  <c r="Y56" i="2"/>
  <c r="W56" i="2"/>
  <c r="N56" i="2"/>
  <c r="AC55" i="2"/>
  <c r="AB55" i="2"/>
  <c r="AA55" i="2"/>
  <c r="Y55" i="2"/>
  <c r="W55" i="2"/>
  <c r="N55" i="2"/>
  <c r="AC54" i="2"/>
  <c r="AB54" i="2"/>
  <c r="AA54" i="2"/>
  <c r="Y54" i="2"/>
  <c r="W54" i="2"/>
  <c r="N54" i="2"/>
  <c r="AC53" i="2"/>
  <c r="AB53" i="2"/>
  <c r="AA53" i="2"/>
  <c r="Y53" i="2"/>
  <c r="W53" i="2"/>
  <c r="N53" i="2"/>
  <c r="AC52" i="2"/>
  <c r="AB52" i="2"/>
  <c r="AA52" i="2"/>
  <c r="Y52" i="2"/>
  <c r="W52" i="2"/>
  <c r="N52" i="2"/>
  <c r="AB51" i="2"/>
  <c r="Y51" i="2"/>
  <c r="W51" i="2"/>
  <c r="N51" i="2"/>
  <c r="AA51" i="2" s="1"/>
  <c r="AB50" i="2"/>
  <c r="Y50" i="2"/>
  <c r="W50" i="2"/>
  <c r="N50" i="2"/>
  <c r="AA50" i="2" s="1"/>
  <c r="AB49" i="2"/>
  <c r="Y49" i="2"/>
  <c r="W49" i="2"/>
  <c r="N49" i="2"/>
  <c r="AA49" i="2" s="1"/>
  <c r="AB48" i="2"/>
  <c r="Y48" i="2"/>
  <c r="W48" i="2"/>
  <c r="N48" i="2"/>
  <c r="AA48" i="2" s="1"/>
  <c r="AB46" i="2"/>
  <c r="Y46" i="2"/>
  <c r="W46" i="2"/>
  <c r="N46" i="2"/>
  <c r="AA46" i="2" s="1"/>
  <c r="AB45" i="2"/>
  <c r="Y45" i="2"/>
  <c r="W45" i="2"/>
  <c r="N45" i="2"/>
  <c r="AA45" i="2" s="1"/>
  <c r="AB43" i="2"/>
  <c r="Y43" i="2"/>
  <c r="W43" i="2"/>
  <c r="N43" i="2"/>
  <c r="AA43" i="2" s="1"/>
  <c r="AB42" i="2"/>
  <c r="Y42" i="2"/>
  <c r="W42" i="2"/>
  <c r="N42" i="2"/>
  <c r="AA42" i="2" s="1"/>
  <c r="AB41" i="2"/>
  <c r="Y41" i="2"/>
  <c r="W41" i="2"/>
  <c r="N41" i="2"/>
  <c r="AA41" i="2" s="1"/>
  <c r="AB39" i="2"/>
  <c r="Y39" i="2"/>
  <c r="W39" i="2"/>
  <c r="N39" i="2"/>
  <c r="AA39" i="2" s="1"/>
  <c r="AC39" i="2" s="1"/>
  <c r="AB38" i="2"/>
  <c r="Y38" i="2"/>
  <c r="W38" i="2"/>
  <c r="N38" i="2"/>
  <c r="AA38" i="2" s="1"/>
  <c r="AB37" i="2"/>
  <c r="Y37" i="2"/>
  <c r="W37" i="2"/>
  <c r="N37" i="2"/>
  <c r="AA37" i="2" s="1"/>
  <c r="AB36" i="2"/>
  <c r="Y36" i="2"/>
  <c r="W36" i="2"/>
  <c r="N36" i="2"/>
  <c r="AA36" i="2" s="1"/>
  <c r="AB35" i="2"/>
  <c r="Y35" i="2"/>
  <c r="W35" i="2"/>
  <c r="N35" i="2"/>
  <c r="AA35" i="2" s="1"/>
  <c r="AB34" i="2"/>
  <c r="Y34" i="2"/>
  <c r="W34" i="2"/>
  <c r="N34" i="2"/>
  <c r="AA34" i="2" s="1"/>
  <c r="AB33" i="2"/>
  <c r="Y33" i="2"/>
  <c r="W33" i="2"/>
  <c r="N33" i="2"/>
  <c r="AA33" i="2" s="1"/>
  <c r="AB32" i="2"/>
  <c r="AC32" i="2" s="1"/>
  <c r="Y32" i="2"/>
  <c r="W32" i="2"/>
  <c r="AB31" i="2"/>
  <c r="AC31" i="2" s="1"/>
  <c r="Y31" i="2"/>
  <c r="W31" i="2"/>
  <c r="AB30" i="2"/>
  <c r="AC30" i="2" s="1"/>
  <c r="Y30" i="2"/>
  <c r="W30" i="2"/>
  <c r="Y29" i="2"/>
  <c r="W29" i="2"/>
  <c r="Y28" i="2"/>
  <c r="W28" i="2"/>
  <c r="Y26" i="2"/>
  <c r="W26" i="2"/>
  <c r="Y25" i="2"/>
  <c r="W25" i="2"/>
  <c r="Y24" i="2"/>
  <c r="W24" i="2"/>
  <c r="Y23" i="2"/>
  <c r="W23" i="2"/>
  <c r="Y16" i="2"/>
  <c r="W16" i="2"/>
  <c r="T16" i="2"/>
  <c r="S16" i="2"/>
  <c r="N16" i="2"/>
  <c r="AA16" i="2" s="1"/>
  <c r="AC16" i="2" s="1"/>
  <c r="Y15" i="2"/>
  <c r="W15" i="2"/>
  <c r="T15" i="2"/>
  <c r="S15" i="2"/>
  <c r="N15" i="2"/>
  <c r="AA15" i="2" s="1"/>
  <c r="AC15" i="2" s="1"/>
  <c r="Y14" i="2"/>
  <c r="T14" i="2"/>
  <c r="S14" i="2"/>
  <c r="N14" i="2"/>
  <c r="AA14" i="2" s="1"/>
  <c r="AC14" i="2" s="1"/>
  <c r="Y13" i="2"/>
  <c r="T13" i="2"/>
  <c r="S13" i="2"/>
  <c r="N13" i="2"/>
  <c r="AA13" i="2" s="1"/>
  <c r="Y12" i="2"/>
  <c r="W12" i="2"/>
  <c r="T12" i="2"/>
  <c r="S12" i="2"/>
  <c r="N12" i="2"/>
  <c r="AA12" i="2" s="1"/>
  <c r="AC12" i="2" s="1"/>
  <c r="Y11" i="2"/>
  <c r="T11" i="2"/>
  <c r="S11" i="2"/>
  <c r="N11" i="2"/>
  <c r="AA11" i="2" s="1"/>
  <c r="AC11" i="2" s="1"/>
  <c r="Y9" i="2"/>
  <c r="T9" i="2"/>
  <c r="S9" i="2"/>
  <c r="N9" i="2"/>
  <c r="AA9" i="2" s="1"/>
  <c r="AC9" i="2" s="1"/>
  <c r="Y8" i="2"/>
  <c r="T8" i="2"/>
  <c r="S8" i="2"/>
  <c r="N8" i="2"/>
  <c r="AA8" i="2" s="1"/>
  <c r="AC8" i="2" s="1"/>
  <c r="Y7" i="2"/>
  <c r="AB7" i="2" s="1"/>
  <c r="W7" i="2"/>
  <c r="T7" i="2"/>
  <c r="S7" i="2"/>
  <c r="N7" i="2"/>
  <c r="AA7" i="2" s="1"/>
  <c r="Y6" i="2"/>
  <c r="AB6" i="2" s="1"/>
  <c r="W6" i="2"/>
  <c r="T6" i="2"/>
  <c r="S6" i="2"/>
  <c r="N6" i="2"/>
  <c r="AA6" i="2" s="1"/>
  <c r="AB5" i="2"/>
  <c r="Y5" i="2"/>
  <c r="T5" i="2"/>
  <c r="S5" i="2"/>
  <c r="N5" i="2"/>
  <c r="AA5" i="2" s="1"/>
  <c r="AB4" i="2"/>
  <c r="Y4" i="2"/>
  <c r="T4" i="2"/>
  <c r="S4" i="2"/>
  <c r="N4" i="2"/>
  <c r="AA4" i="2" s="1"/>
  <c r="AB3" i="2"/>
  <c r="Y3" i="2"/>
  <c r="T3" i="2"/>
  <c r="S3" i="2"/>
  <c r="N3" i="2"/>
  <c r="AA3" i="2" s="1"/>
  <c r="AB2" i="2"/>
  <c r="Y2" i="2"/>
  <c r="T2" i="2"/>
  <c r="S2" i="2"/>
  <c r="N2" i="2"/>
  <c r="AA2" i="2" s="1"/>
  <c r="E28" i="1"/>
  <c r="D28" i="1"/>
  <c r="E27" i="1"/>
  <c r="D27" i="1"/>
  <c r="E26" i="1"/>
  <c r="D26" i="1"/>
  <c r="B26" i="1"/>
  <c r="E25" i="1"/>
  <c r="D25" i="1"/>
  <c r="B25" i="1"/>
  <c r="E24" i="1"/>
  <c r="D24" i="1"/>
  <c r="B24" i="1"/>
  <c r="E23" i="1"/>
  <c r="D23" i="1"/>
  <c r="B23" i="1"/>
  <c r="E22" i="1"/>
  <c r="D22" i="1"/>
  <c r="B22" i="1"/>
  <c r="E21" i="1"/>
  <c r="D21" i="1"/>
  <c r="B21" i="1"/>
  <c r="E20" i="1"/>
  <c r="D20" i="1"/>
  <c r="B20" i="1"/>
  <c r="E19" i="1"/>
  <c r="D19" i="1"/>
  <c r="B19" i="1"/>
  <c r="E18" i="1"/>
  <c r="D18" i="1"/>
  <c r="B18" i="1"/>
  <c r="E17" i="1"/>
  <c r="D17" i="1"/>
  <c r="B17" i="1"/>
  <c r="E12" i="1"/>
  <c r="D12" i="1"/>
  <c r="F5" i="1"/>
  <c r="E5" i="1"/>
  <c r="D5" i="1"/>
  <c r="B5" i="1"/>
  <c r="AC38" i="2" l="1"/>
  <c r="AC45" i="2"/>
  <c r="AC41" i="2"/>
  <c r="AC51" i="2"/>
  <c r="AC37" i="2"/>
  <c r="AC42" i="2"/>
  <c r="AC48" i="2"/>
  <c r="AC4" i="2"/>
  <c r="AC49" i="2"/>
  <c r="AC50" i="2"/>
  <c r="AC34" i="2"/>
  <c r="AC46" i="2"/>
  <c r="AC36" i="2"/>
  <c r="AC43" i="2"/>
  <c r="AC35" i="2"/>
  <c r="AC33" i="2"/>
  <c r="AC5" i="2"/>
  <c r="AC13" i="2"/>
  <c r="AC3" i="2"/>
  <c r="F12" i="1"/>
  <c r="C5" i="1"/>
  <c r="AC7" i="2"/>
  <c r="C12" i="1"/>
  <c r="B12" i="1"/>
  <c r="AC6" i="2"/>
  <c r="F9" i="1"/>
  <c r="C9" i="1"/>
  <c r="AC2" i="2"/>
  <c r="E9" i="1"/>
  <c r="D9" i="1"/>
  <c r="B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M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Enter contractual or certificate expiry date.</t>
        </r>
      </text>
    </comment>
    <comment ref="Q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Examples: seats, cores, endpoints, appliances or covered units.</t>
        </r>
      </text>
    </comment>
    <comment ref="X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Use for OS lifecycle, appliance support end date, or vendor support cut-off.</t>
        </r>
      </text>
    </comment>
  </commentList>
</comments>
</file>

<file path=xl/sharedStrings.xml><?xml version="1.0" encoding="utf-8"?>
<sst xmlns="http://schemas.openxmlformats.org/spreadsheetml/2006/main" count="878" uniqueCount="267">
  <si>
    <t>License &amp; Subscription Dashboard</t>
  </si>
  <si>
    <t>Use this page for weekly reviews and customer renewal meetings.</t>
  </si>
  <si>
    <t>Tracked Items</t>
  </si>
  <si>
    <t>Total Annual Cost</t>
  </si>
  <si>
    <t>Last Refresh</t>
  </si>
  <si>
    <t>Urgent Threshold</t>
  </si>
  <si>
    <t>EOL Threshold</t>
  </si>
  <si>
    <t>Expired</t>
  </si>
  <si>
    <t>Urgent</t>
  </si>
  <si>
    <t>Review</t>
  </si>
  <si>
    <t>Missing Expiry</t>
  </si>
  <si>
    <t>Active</t>
  </si>
  <si>
    <t>Past EOL</t>
  </si>
  <si>
    <t>EOL Soon</t>
  </si>
  <si>
    <t>Qty Purchased</t>
  </si>
  <si>
    <t>Qty In Use</t>
  </si>
  <si>
    <t>Qty Available</t>
  </si>
  <si>
    <t>Category Summary</t>
  </si>
  <si>
    <t>Upcoming License Expiry by Month</t>
  </si>
  <si>
    <t>Category</t>
  </si>
  <si>
    <t>Count</t>
  </si>
  <si>
    <t>Month</t>
  </si>
  <si>
    <t>SSL Certificate</t>
  </si>
  <si>
    <t>Server Management</t>
  </si>
  <si>
    <t>Endpoint Security</t>
  </si>
  <si>
    <t>Virtualization</t>
  </si>
  <si>
    <t>Operating System</t>
  </si>
  <si>
    <t>Network Appliance</t>
  </si>
  <si>
    <t>Backup</t>
  </si>
  <si>
    <t>Monitoring</t>
  </si>
  <si>
    <t>SaaS</t>
  </si>
  <si>
    <t>Other</t>
  </si>
  <si>
    <t>Recommended review queue</t>
  </si>
  <si>
    <t>1) Filter License_Register for Expired, Urgent, Review or Past EOL</t>
  </si>
  <si>
    <t>2) Sort Days to Expiry ascending and contact the Renewal Owner</t>
  </si>
  <si>
    <t>3) Validate quantity gaps where utilization is high or availability is low</t>
  </si>
  <si>
    <t>4) Update Last Reviewed after each customer or internal renewal check</t>
  </si>
  <si>
    <t>Client</t>
  </si>
  <si>
    <t>Site / Region</t>
  </si>
  <si>
    <t>Item Type</t>
  </si>
  <si>
    <t>Vendor</t>
  </si>
  <si>
    <t>Product / Service</t>
  </si>
  <si>
    <t>Asset / Hostname / Scope</t>
  </si>
  <si>
    <t>Environment</t>
  </si>
  <si>
    <t>Primary Owner</t>
  </si>
  <si>
    <t>Technical Contact</t>
  </si>
  <si>
    <t>License Ref / Serial / Cert CN</t>
  </si>
  <si>
    <t>Start Date</t>
  </si>
  <si>
    <t>Expiry Date</t>
  </si>
  <si>
    <t>Days to Expiry</t>
  </si>
  <si>
    <t>Renewal Cycle</t>
  </si>
  <si>
    <t>Auto Renew</t>
  </si>
  <si>
    <t>Utilization %</t>
  </si>
  <si>
    <t>Unit Cost</t>
  </si>
  <si>
    <t>Currency</t>
  </si>
  <si>
    <t>Annual Cost</t>
  </si>
  <si>
    <t>Support / EOL Date</t>
  </si>
  <si>
    <t>Days to EOL</t>
  </si>
  <si>
    <t>Priority</t>
  </si>
  <si>
    <t>License Status</t>
  </si>
  <si>
    <t>EOL Status</t>
  </si>
  <si>
    <t>Escalation Needed</t>
  </si>
  <si>
    <t>Renewal Owner</t>
  </si>
  <si>
    <t>Last Reviewed</t>
  </si>
  <si>
    <t>Notes</t>
  </si>
  <si>
    <t>Source / Portal URL</t>
  </si>
  <si>
    <t>CPC</t>
  </si>
  <si>
    <t>HQ</t>
  </si>
  <si>
    <t>License</t>
  </si>
  <si>
    <t>OpenText</t>
  </si>
  <si>
    <t>OBM</t>
  </si>
  <si>
    <t>TBC</t>
  </si>
  <si>
    <t>Production</t>
  </si>
  <si>
    <t>OPS Team</t>
  </si>
  <si>
    <t>Ayman Makram</t>
  </si>
  <si>
    <t>Annual</t>
  </si>
  <si>
    <t>No</t>
  </si>
  <si>
    <t>USD</t>
  </si>
  <si>
    <t>High</t>
  </si>
  <si>
    <t>TAM</t>
  </si>
  <si>
    <t>Tickting Solution</t>
  </si>
  <si>
    <t>SMAX</t>
  </si>
  <si>
    <t>NOM</t>
  </si>
  <si>
    <t>Vertica</t>
  </si>
  <si>
    <t>SAM</t>
  </si>
  <si>
    <t>Critical</t>
  </si>
  <si>
    <t>UCMDB</t>
  </si>
  <si>
    <t>UFT</t>
  </si>
  <si>
    <t>Load Runner</t>
  </si>
  <si>
    <t>Elastic</t>
  </si>
  <si>
    <t>EDR</t>
  </si>
  <si>
    <t>Ali Mohamed</t>
  </si>
  <si>
    <t xml:space="preserve">Elastic Backend </t>
  </si>
  <si>
    <t>Stack-X</t>
  </si>
  <si>
    <t>EPM</t>
  </si>
  <si>
    <t xml:space="preserve">Mostafa Mohamed </t>
  </si>
  <si>
    <t>Automation and Orchestration</t>
  </si>
  <si>
    <t>Reporter</t>
  </si>
  <si>
    <t xml:space="preserve">Archiving System </t>
  </si>
  <si>
    <t xml:space="preserve">Yasser Shehwey </t>
  </si>
  <si>
    <t>MOE</t>
  </si>
  <si>
    <t>Roxy</t>
  </si>
  <si>
    <t>Certificate</t>
  </si>
  <si>
    <t xml:space="preserve">DigiCert </t>
  </si>
  <si>
    <t>Public SSL wildcard</t>
  </si>
  <si>
    <t>*.MoE.Gov.EG</t>
  </si>
  <si>
    <t>Moamen Sharaf</t>
  </si>
  <si>
    <t>CN=*.Moe.Gov.Eg</t>
  </si>
  <si>
    <t>Semi-Annual</t>
  </si>
  <si>
    <t>Shahawey</t>
  </si>
  <si>
    <t>Public-facing certificate</t>
  </si>
  <si>
    <t>*.EMIS.Gov.EG</t>
  </si>
  <si>
    <t>CN=*.EMIS.Gov.Eg</t>
  </si>
  <si>
    <t>Dell iDRAC</t>
  </si>
  <si>
    <t>HP iLO</t>
  </si>
  <si>
    <t xml:space="preserve">HP Ilo </t>
  </si>
  <si>
    <t>ECMI</t>
  </si>
  <si>
    <t>ECMI (GOMCO/EPTIC)</t>
  </si>
  <si>
    <t>XDR</t>
  </si>
  <si>
    <t>NDR</t>
  </si>
  <si>
    <t>APM</t>
  </si>
  <si>
    <t>Microsoft</t>
  </si>
  <si>
    <t>MS 365 E3</t>
  </si>
  <si>
    <t>Office</t>
  </si>
  <si>
    <t>Power BI Pro</t>
  </si>
  <si>
    <t xml:space="preserve">Business Basic </t>
  </si>
  <si>
    <t xml:space="preserve">Business Standard </t>
  </si>
  <si>
    <t>MS 365 E5</t>
  </si>
  <si>
    <t>MS 365 Apps 4 Buiness</t>
  </si>
  <si>
    <t>Exagrade</t>
  </si>
  <si>
    <t>Backup Exagrade  HW Support</t>
  </si>
  <si>
    <t>ComVualt</t>
  </si>
  <si>
    <t>Backup ComVualt SW  Support</t>
  </si>
  <si>
    <t>FortiGate</t>
  </si>
  <si>
    <t>Fortinet NGF 1801F</t>
  </si>
  <si>
    <t>Fortinet 600E Web App Filriting-WAF</t>
  </si>
  <si>
    <t>Fortinet Authenticator</t>
  </si>
  <si>
    <t>FortiNet S/W Token</t>
  </si>
  <si>
    <t>Fortinet Endpoint Management 
Server -EMS</t>
  </si>
  <si>
    <t>Fortinet Support</t>
  </si>
  <si>
    <t>Kaspresky</t>
  </si>
  <si>
    <t xml:space="preserve">KAV End Point Secnurty  Advanced </t>
  </si>
  <si>
    <t>KAV MDR</t>
  </si>
  <si>
    <t>KAV Securty Awarensess</t>
  </si>
  <si>
    <t>SAP</t>
  </si>
  <si>
    <t xml:space="preserve">SAP RISE, S4HANA Cld, Prived </t>
  </si>
  <si>
    <t>RDH</t>
  </si>
  <si>
    <t>Control / Threshold</t>
  </si>
  <si>
    <t>Value</t>
  </si>
  <si>
    <t>Purpose</t>
  </si>
  <si>
    <t>Urgent days threshold</t>
  </si>
  <si>
    <t>Licenses expiring in this window are flagged Urgent</t>
  </si>
  <si>
    <t>Review days threshold</t>
  </si>
  <si>
    <t>Licenses expiring in this window are flagged Review</t>
  </si>
  <si>
    <t>EOL soon threshold</t>
  </si>
  <si>
    <t>Support / OS lifecycle window for proactive action</t>
  </si>
  <si>
    <t>Default reminder lead time</t>
  </si>
  <si>
    <t>Suggested reminder lead time for renewals</t>
  </si>
  <si>
    <t>Base currency</t>
  </si>
  <si>
    <t>Reference currency for reporting</t>
  </si>
  <si>
    <t>Template version</t>
  </si>
  <si>
    <t>1.0</t>
  </si>
  <si>
    <t>Update if you add new columns or logic</t>
  </si>
  <si>
    <t>Legend</t>
  </si>
  <si>
    <t>Blue text / fill</t>
  </si>
  <si>
    <t>Editable user input</t>
  </si>
  <si>
    <t>Gray fill</t>
  </si>
  <si>
    <t>Formula / derived cells</t>
  </si>
  <si>
    <t>Orange / Red</t>
  </si>
  <si>
    <t>Review, urgent or expired attention needed</t>
  </si>
  <si>
    <t>Green</t>
  </si>
  <si>
    <t>Healthy / active status</t>
  </si>
  <si>
    <t>Yes / No</t>
  </si>
  <si>
    <t>Monthly</t>
  </si>
  <si>
    <t>Yes</t>
  </si>
  <si>
    <t>Low</t>
  </si>
  <si>
    <t>Subscription</t>
  </si>
  <si>
    <t>DR</t>
  </si>
  <si>
    <t>Quarterly</t>
  </si>
  <si>
    <t>Medium</t>
  </si>
  <si>
    <t>EUR</t>
  </si>
  <si>
    <t>Test</t>
  </si>
  <si>
    <t>EGP</t>
  </si>
  <si>
    <t>Support Contract</t>
  </si>
  <si>
    <t>UAT</t>
  </si>
  <si>
    <t>SAR</t>
  </si>
  <si>
    <t>Warranty</t>
  </si>
  <si>
    <t>Multi-Year</t>
  </si>
  <si>
    <t>AED</t>
  </si>
  <si>
    <t>EOL/Lifecycle</t>
  </si>
  <si>
    <t>Cloud</t>
  </si>
  <si>
    <t>One-Time</t>
  </si>
  <si>
    <t>GBP</t>
  </si>
  <si>
    <t>Maintenance</t>
  </si>
  <si>
    <t>Branch</t>
  </si>
  <si>
    <t>N/A</t>
  </si>
  <si>
    <t>Domian Subscription</t>
  </si>
  <si>
    <t>Shared</t>
  </si>
  <si>
    <t>How to Use the License &amp; Subscription Tracker</t>
  </si>
  <si>
    <t>Managed Services best practice</t>
  </si>
  <si>
    <t>1. Add one row per asset, license, certificate, subscription or OS lifecycle item in License_Register.</t>
  </si>
  <si>
    <t>Use the sample rows first, then replace with your real environment data.</t>
  </si>
  <si>
    <t>2. Complete blue cells only.</t>
  </si>
  <si>
    <t>Gray cells calculate automatically: days to expiry, quantity availability, utilization, status and escalation.</t>
  </si>
  <si>
    <t>3. Review the Dashboard daily or weekly.</t>
  </si>
  <si>
    <t>Prioritize Expired, Urgent, Review and Past EOL items for renewal planning.</t>
  </si>
  <si>
    <t>4. Track quantities as well as dates.</t>
  </si>
  <si>
    <t>Useful for vCenter, Kaspersky, CALs, firewall bundles and any seat- or core-based licensing.</t>
  </si>
  <si>
    <t>5. Use Support / EOL Date for lifecycle risk.</t>
  </si>
  <si>
    <t>This helps for OS versions, appliances, storage, switches and security products.</t>
  </si>
  <si>
    <t>6. Update Last Reviewed after validation.</t>
  </si>
  <si>
    <t>Creates an audit trail and shows which records need re-checking.</t>
  </si>
  <si>
    <t>7. Suggested operating rhythm.</t>
  </si>
  <si>
    <t>Assign an owner, review weekly, and discuss urgent rows in customer ops meetings.</t>
  </si>
  <si>
    <t>October</t>
  </si>
  <si>
    <t>DigiCert</t>
  </si>
  <si>
    <t>*.alpha-example.com</t>
  </si>
  <si>
    <t>NOC Team</t>
  </si>
  <si>
    <t>security@alpha.example</t>
  </si>
  <si>
    <t>CN=*.alpha-example.com</t>
  </si>
  <si>
    <t>Security Lead</t>
  </si>
  <si>
    <t>https://portal.example/ssl</t>
  </si>
  <si>
    <t>Dell</t>
  </si>
  <si>
    <t>iDRAC Enterprise</t>
  </si>
  <si>
    <t>esx-host-01 to 04</t>
  </si>
  <si>
    <t>Infrastructure Team</t>
  </si>
  <si>
    <t>infra@beta.example</t>
  </si>
  <si>
    <t>IDRAC-ENT-2026</t>
  </si>
  <si>
    <t>Server Admin</t>
  </si>
  <si>
    <t>Per-host management license</t>
  </si>
  <si>
    <t>https://portal.example/idrac</t>
  </si>
  <si>
    <t>Kaspersky</t>
  </si>
  <si>
    <t>Kaspersky Endpoint Security</t>
  </si>
  <si>
    <t>Workstations &amp; servers</t>
  </si>
  <si>
    <t>SOC Team</t>
  </si>
  <si>
    <t>soc@gamma.example</t>
  </si>
  <si>
    <t>KASP-250-ENDP</t>
  </si>
  <si>
    <t>Security Operations</t>
  </si>
  <si>
    <t>Track seat consumption monthly</t>
  </si>
  <si>
    <t>https://portal.example/kaspersky</t>
  </si>
  <si>
    <t>VMware</t>
  </si>
  <si>
    <t>vCenter Server</t>
  </si>
  <si>
    <t>vcsa-prod-01</t>
  </si>
  <si>
    <t>Platform Team</t>
  </si>
  <si>
    <t>vm@delta.example</t>
  </si>
  <si>
    <t>VCENTER-CPU-12</t>
  </si>
  <si>
    <t>Virtualization Lead</t>
  </si>
  <si>
    <t>Licensed by CPU count</t>
  </si>
  <si>
    <t>https://portal.example/vcenter</t>
  </si>
  <si>
    <t>Primary Site</t>
  </si>
  <si>
    <t>Windows Server 2012 R2</t>
  </si>
  <si>
    <t>app-legacy-01</t>
  </si>
  <si>
    <t>Windows Team</t>
  </si>
  <si>
    <t>windows@epsilon.example</t>
  </si>
  <si>
    <t>WS2012R2-Lifecycle</t>
  </si>
  <si>
    <t>Infrastructure Manager</t>
  </si>
  <si>
    <t>Past vendor support; review migration</t>
  </si>
  <si>
    <t>https://learn.microsoft.com</t>
  </si>
  <si>
    <t>Fortinet</t>
  </si>
  <si>
    <t>FortiGate UTM Bundle</t>
  </si>
  <si>
    <t>FG-100F-HQ</t>
  </si>
  <si>
    <t>Network Team</t>
  </si>
  <si>
    <t>network@zeta.example</t>
  </si>
  <si>
    <t>FGT-100F-UTM</t>
  </si>
  <si>
    <t>Network Lead</t>
  </si>
  <si>
    <t>Renew early to avoid security signature lapse</t>
  </si>
  <si>
    <t>https://portal.example/fortigate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</si>
</sst>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1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1F1F1F"/>
      <name val="Calibri"/>
      <family val="2"/>
    </font>
    <font>
      <b/>
      <sz val="10"/>
      <color rgb="FF800080"/>
      <name val="Calibri"/>
      <family val="2"/>
    </font>
    <font>
      <b/>
      <sz val="11"/>
      <color rgb="FF1F1F1F"/>
      <name val="Calibri"/>
      <family val="2"/>
    </font>
    <font>
      <sz val="10"/>
      <color rgb="FF0000FF"/>
      <name val="Calibri"/>
      <family val="2"/>
    </font>
    <font>
      <sz val="10"/>
      <color rgb="FF000000"/>
      <name val="Calibri"/>
      <family val="2"/>
    </font>
    <font>
      <b/>
      <sz val="14"/>
      <color rgb="FFFFFFFF"/>
      <name val="Calibri"/>
      <family val="2"/>
    </font>
    <font>
      <b/>
      <sz val="10"/>
      <name val="Calibri"/>
      <family val="2"/>
    </font>
    <font>
      <b/>
      <sz val="15"/>
      <color rgb="FFFFFFFF"/>
      <name val="Calibri"/>
      <family val="2"/>
    </font>
    <font>
      <i/>
      <sz val="9"/>
      <color rgb="FF666666"/>
      <name val="Calibri"/>
      <family val="2"/>
    </font>
    <font>
      <b/>
      <sz val="10"/>
      <color rgb="FF1F1F1F"/>
      <name val="Calibri"/>
      <family val="2"/>
    </font>
    <font>
      <b/>
      <sz val="14"/>
      <color rgb="FF1F1F1F"/>
      <name val="Calibri"/>
      <family val="2"/>
    </font>
    <font>
      <sz val="12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DE9E7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13" fillId="0" borderId="0"/>
  </cellStyleXfs>
  <cellXfs count="47">
    <xf numFmtId="0" fontId="0" fillId="0" borderId="0" xfId="0"/>
    <xf numFmtId="0" fontId="10" fillId="0" borderId="0" xfId="0" applyFont="1"/>
    <xf numFmtId="0" fontId="11" fillId="5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4" fontId="12" fillId="5" borderId="1" xfId="0" applyNumberFormat="1" applyFont="1" applyFill="1" applyBorder="1" applyAlignment="1">
      <alignment horizontal="center" vertical="center"/>
    </xf>
    <xf numFmtId="164" fontId="12" fillId="5" borderId="1" xfId="0" applyNumberFormat="1" applyFont="1" applyFill="1" applyBorder="1" applyAlignment="1">
      <alignment horizontal="center" vertical="center"/>
    </xf>
    <xf numFmtId="1" fontId="12" fillId="4" borderId="1" xfId="0" applyNumberFormat="1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1" fontId="12" fillId="10" borderId="1" xfId="0" applyNumberFormat="1" applyFont="1" applyFill="1" applyBorder="1" applyAlignment="1">
      <alignment horizontal="center" vertical="center"/>
    </xf>
    <xf numFmtId="1" fontId="12" fillId="8" borderId="1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1" fontId="12" fillId="9" borderId="1" xfId="0" applyNumberFormat="1" applyFont="1" applyFill="1" applyBorder="1" applyAlignment="1">
      <alignment horizontal="center" vertical="center"/>
    </xf>
    <xf numFmtId="0" fontId="4" fillId="5" borderId="0" xfId="0" applyFont="1" applyFill="1"/>
    <xf numFmtId="0" fontId="1" fillId="2" borderId="0" xfId="0" applyFont="1" applyFill="1" applyAlignment="1">
      <alignment horizontal="center" vertical="center"/>
    </xf>
    <xf numFmtId="1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top" wrapText="1"/>
    </xf>
    <xf numFmtId="164" fontId="5" fillId="6" borderId="2" xfId="0" applyNumberFormat="1" applyFont="1" applyFill="1" applyBorder="1" applyAlignment="1">
      <alignment horizontal="left" vertical="center"/>
    </xf>
    <xf numFmtId="1" fontId="6" fillId="7" borderId="2" xfId="0" applyNumberFormat="1" applyFont="1" applyFill="1" applyBorder="1" applyAlignment="1">
      <alignment horizontal="left" vertical="center"/>
    </xf>
    <xf numFmtId="1" fontId="5" fillId="6" borderId="2" xfId="0" applyNumberFormat="1" applyFont="1" applyFill="1" applyBorder="1" applyAlignment="1">
      <alignment horizontal="left" vertical="center"/>
    </xf>
    <xf numFmtId="165" fontId="6" fillId="7" borderId="2" xfId="0" applyNumberFormat="1" applyFont="1" applyFill="1" applyBorder="1" applyAlignment="1">
      <alignment horizontal="left" vertical="center"/>
    </xf>
    <xf numFmtId="4" fontId="5" fillId="6" borderId="2" xfId="0" applyNumberFormat="1" applyFont="1" applyFill="1" applyBorder="1" applyAlignment="1">
      <alignment horizontal="left" vertical="center"/>
    </xf>
    <xf numFmtId="4" fontId="6" fillId="7" borderId="2" xfId="0" applyNumberFormat="1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6" borderId="1" xfId="0" applyFont="1" applyFill="1" applyBorder="1"/>
    <xf numFmtId="0" fontId="0" fillId="0" borderId="1" xfId="0" applyBorder="1"/>
    <xf numFmtId="0" fontId="6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8" fillId="0" borderId="0" xfId="0" applyFont="1"/>
    <xf numFmtId="0" fontId="0" fillId="0" borderId="0" xfId="0" applyAlignment="1">
      <alignment horizontal="left" vertical="top" wrapText="1"/>
    </xf>
    <xf numFmtId="0" fontId="13" fillId="0" borderId="0" xfId="1"/>
    <xf numFmtId="1" fontId="5" fillId="11" borderId="2" xfId="0" applyNumberFormat="1" applyFont="1" applyFill="1" applyBorder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</cellXfs>
  <cellStyles count="2">
    <cellStyle name="Hyperlink" xfId="1" xr:uid="{00000000-0005-0000-0000-000001000000}"/>
    <cellStyle name="Normal" xfId="0" builtinId="0"/>
  </cellStyles>
  <dxfs count="16"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DE9E7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DE9E7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DE9E7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482600</xdr:colOff>
      <xdr:row>33</xdr:row>
      <xdr:rowOff>101600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C9ABD2DA-73D5-3B14-4A02-BEC55008322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482600</xdr:colOff>
      <xdr:row>33</xdr:row>
      <xdr:rowOff>101600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EDFE86B7-DA70-EBB1-8C06-A7FADBE6D4B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482600</xdr:colOff>
      <xdr:row>33</xdr:row>
      <xdr:rowOff>101600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0AD23A22-4CF9-0077-E3F8-A702E7D2A28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5962650" cy="6426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showGridLines="0" workbookViewId="0">
      <selection activeCell="E5" sqref="E5"/>
    </sheetView>
  </sheetViews>
  <sheetFormatPr defaultRowHeight="15"/>
  <cols>
    <col min="1" max="1" width="24" customWidth="1"/>
    <col min="2" max="3" width="15" customWidth="1"/>
    <col min="4" max="4" width="18" customWidth="1"/>
    <col min="5" max="5" width="14.140625" bestFit="1" customWidth="1"/>
    <col min="6" max="6" width="11.85546875" bestFit="1" customWidth="1"/>
  </cols>
  <sheetData>
    <row r="1" spans="1:6" ht="19.5">
      <c r="A1" s="42" t="s">
        <v>0</v>
      </c>
      <c r="B1" s="46"/>
      <c r="C1" s="46"/>
      <c r="D1" s="46"/>
      <c r="E1" s="46"/>
      <c r="F1" s="46"/>
    </row>
    <row r="2" spans="1:6">
      <c r="A2" s="1" t="s">
        <v>1</v>
      </c>
    </row>
    <row r="4" spans="1:6">
      <c r="B4" s="2" t="s">
        <v>2</v>
      </c>
      <c r="C4" s="2" t="s">
        <v>3</v>
      </c>
      <c r="D4" s="2" t="s">
        <v>4</v>
      </c>
      <c r="E4" s="3" t="s">
        <v>5</v>
      </c>
      <c r="F4" s="3" t="s">
        <v>6</v>
      </c>
    </row>
    <row r="5" spans="1:6" ht="18.75">
      <c r="B5" s="4">
        <f>COUNTIF(License_Register!$F$2:$F$306,"&lt;&gt;")</f>
        <v>50</v>
      </c>
      <c r="C5" s="5">
        <f>SUM(License_Register!$W$2:$W$306)</f>
        <v>4368.6000000000004</v>
      </c>
      <c r="D5" s="6">
        <f ca="1">TODAY()</f>
        <v>46140</v>
      </c>
      <c r="E5" s="7">
        <f>Settings!$B$2</f>
        <v>30</v>
      </c>
      <c r="F5" s="7">
        <f>Settings!$B$4</f>
        <v>90</v>
      </c>
    </row>
    <row r="8" spans="1:6">
      <c r="B8" s="8" t="s">
        <v>7</v>
      </c>
      <c r="C8" s="9" t="s">
        <v>8</v>
      </c>
      <c r="D8" s="3" t="s">
        <v>9</v>
      </c>
      <c r="E8" s="10" t="s">
        <v>10</v>
      </c>
      <c r="F8" s="11" t="s">
        <v>11</v>
      </c>
    </row>
    <row r="9" spans="1:6" ht="18.75">
      <c r="B9" s="12">
        <f ca="1">COUNTIF(License_Register!$AA$2:$AA$306,"Expired")</f>
        <v>10</v>
      </c>
      <c r="C9" s="13">
        <f ca="1">COUNTIF(License_Register!$AA$2:$AA$306,"Urgent")</f>
        <v>7</v>
      </c>
      <c r="D9" s="7">
        <f ca="1">COUNTIF(License_Register!$AA$2:$AA$306,"Review")</f>
        <v>1</v>
      </c>
      <c r="E9" s="14">
        <f ca="1">COUNTIF(License_Register!$AA$2:$AA$306,"Missing expiry")</f>
        <v>2</v>
      </c>
      <c r="F9" s="15">
        <f ca="1">COUNTIF(License_Register!$AA$2:$AA$306,"Active")</f>
        <v>27</v>
      </c>
    </row>
    <row r="11" spans="1:6">
      <c r="B11" s="8" t="s">
        <v>12</v>
      </c>
      <c r="C11" s="9" t="s">
        <v>13</v>
      </c>
      <c r="D11" s="2" t="s">
        <v>14</v>
      </c>
      <c r="E11" s="2" t="s">
        <v>15</v>
      </c>
      <c r="F11" s="2" t="s">
        <v>16</v>
      </c>
    </row>
    <row r="12" spans="1:6" ht="18.75">
      <c r="B12" s="12">
        <f ca="1">COUNTIF(License_Register!$AB$2:$AB$306,"Past EOL")</f>
        <v>1</v>
      </c>
      <c r="C12" s="13">
        <f ca="1">COUNTIF(License_Register!$AB$2:$AB$306,"EOL soon")</f>
        <v>0</v>
      </c>
      <c r="D12" s="4">
        <f>SUM(License_Register!$Q$2:$Q$306)</f>
        <v>27480</v>
      </c>
      <c r="E12" s="4">
        <f>SUM(License_Register!$R$2:$R$306)</f>
        <v>7670</v>
      </c>
      <c r="F12" s="4">
        <f>SUM(License_Register!$S$2:$S$306)</f>
        <v>19810</v>
      </c>
    </row>
    <row r="15" spans="1:6">
      <c r="A15" s="16" t="s">
        <v>17</v>
      </c>
      <c r="D15" s="16" t="s">
        <v>18</v>
      </c>
    </row>
    <row r="16" spans="1:6">
      <c r="A16" s="17" t="s">
        <v>19</v>
      </c>
      <c r="B16" s="17" t="s">
        <v>20</v>
      </c>
      <c r="D16" s="17" t="s">
        <v>21</v>
      </c>
      <c r="E16" s="17" t="s">
        <v>20</v>
      </c>
    </row>
    <row r="17" spans="1:5">
      <c r="A17" t="s">
        <v>22</v>
      </c>
      <c r="B17" s="18">
        <f>COUNTIF(License_Register!$C$2:$C$306,A17)</f>
        <v>2</v>
      </c>
      <c r="D17" t="str">
        <f ca="1">TEXT(EDATE(TODAY(),0),"mmm-yy")</f>
        <v>Apr-26</v>
      </c>
      <c r="E17" s="18">
        <f ca="1">COUNTIFS(License_Register!$M$2:$M$306,"&gt;="&amp;EDATE(EOMONTH(TODAY(),-1),0)+1,License_Register!$M$2:$M$306,"&lt;"&amp;EDATE(EOMONTH(TODAY(),-1),1)+1)</f>
        <v>0</v>
      </c>
    </row>
    <row r="18" spans="1:5">
      <c r="A18" t="s">
        <v>23</v>
      </c>
      <c r="B18" s="18">
        <f>COUNTIF(License_Register!$C$2:$C$306,A18)</f>
        <v>3</v>
      </c>
      <c r="D18" t="str">
        <f ca="1">TEXT(EDATE(TODAY(),1),"mmm-yy")</f>
        <v>May-26</v>
      </c>
      <c r="E18" s="18">
        <f ca="1">COUNTIFS(License_Register!$M$2:$M$306,"&gt;="&amp;EDATE(EOMONTH(TODAY(),-1),1)+1,License_Register!$M$2:$M$306,"&lt;"&amp;EDATE(EOMONTH(TODAY(),-1),2)+1)</f>
        <v>7</v>
      </c>
    </row>
    <row r="19" spans="1:5">
      <c r="A19" t="s">
        <v>24</v>
      </c>
      <c r="B19" s="18">
        <f>COUNTIF(License_Register!$C$2:$C$306,A19)</f>
        <v>10</v>
      </c>
      <c r="D19" t="str">
        <f ca="1">TEXT(EDATE(TODAY(),2),"mmm-yy")</f>
        <v>Jun-26</v>
      </c>
      <c r="E19" s="18">
        <f ca="1">COUNTIFS(License_Register!$M$2:$M$306,"&gt;="&amp;EDATE(EOMONTH(TODAY(),-1),2)+1,License_Register!$M$2:$M$306,"&lt;"&amp;EDATE(EOMONTH(TODAY(),-1),3)+1)</f>
        <v>5</v>
      </c>
    </row>
    <row r="20" spans="1:5">
      <c r="A20" t="s">
        <v>25</v>
      </c>
      <c r="B20" s="18">
        <f>COUNTIF(License_Register!$C$2:$C$306,A20)</f>
        <v>0</v>
      </c>
      <c r="D20" t="str">
        <f ca="1">TEXT(EDATE(TODAY(),3),"mmm-yy")</f>
        <v>Jul-26</v>
      </c>
      <c r="E20" s="18">
        <f ca="1">COUNTIFS(License_Register!$M$2:$M$306,"&gt;="&amp;EDATE(EOMONTH(TODAY(),-1),3)+1,License_Register!$M$2:$M$306,"&lt;"&amp;EDATE(EOMONTH(TODAY(),-1),4)+1)</f>
        <v>0</v>
      </c>
    </row>
    <row r="21" spans="1:5">
      <c r="A21" t="s">
        <v>26</v>
      </c>
      <c r="B21" s="18">
        <f>COUNTIF(License_Register!$C$2:$C$306,A21)</f>
        <v>6</v>
      </c>
      <c r="D21" t="str">
        <f ca="1">TEXT(EDATE(TODAY(),4),"mmm-yy")</f>
        <v>Aug-26</v>
      </c>
      <c r="E21" s="18">
        <f ca="1">COUNTIFS(License_Register!$M$2:$M$306,"&gt;="&amp;EDATE(EOMONTH(TODAY(),-1),4)+1,License_Register!$M$2:$M$306,"&lt;"&amp;EDATE(EOMONTH(TODAY(),-1),5)+1)</f>
        <v>0</v>
      </c>
    </row>
    <row r="22" spans="1:5">
      <c r="A22" t="s">
        <v>27</v>
      </c>
      <c r="B22" s="18">
        <f>COUNTIF(License_Register!$C$2:$C$306,A22)</f>
        <v>4</v>
      </c>
      <c r="D22" t="str">
        <f ca="1">TEXT(EDATE(TODAY(),5),"mmm-yy")</f>
        <v>Sep-26</v>
      </c>
      <c r="E22" s="18">
        <f ca="1">COUNTIFS(License_Register!$M$2:$M$306,"&gt;="&amp;EDATE(EOMONTH(TODAY(),-1),5)+1,License_Register!$M$2:$M$306,"&lt;"&amp;EDATE(EOMONTH(TODAY(),-1),6)+1)</f>
        <v>0</v>
      </c>
    </row>
    <row r="23" spans="1:5">
      <c r="A23" t="s">
        <v>28</v>
      </c>
      <c r="B23" s="18">
        <f>COUNTIF(License_Register!$C$2:$C$306,A23)</f>
        <v>2</v>
      </c>
      <c r="D23" t="str">
        <f ca="1">TEXT(EDATE(TODAY(),6),"mmm-yy")</f>
        <v>Oct-26</v>
      </c>
      <c r="E23" s="18">
        <f ca="1">COUNTIFS(License_Register!$M$2:$M$306,"&gt;="&amp;EDATE(EOMONTH(TODAY(),-1),6)+1,License_Register!$M$2:$M$306,"&lt;"&amp;EDATE(EOMONTH(TODAY(),-1),7)+1)</f>
        <v>1</v>
      </c>
    </row>
    <row r="24" spans="1:5">
      <c r="A24" t="s">
        <v>29</v>
      </c>
      <c r="B24" s="18">
        <f>COUNTIF(License_Register!$C$2:$C$306,A24)</f>
        <v>13</v>
      </c>
      <c r="D24" t="str">
        <f ca="1">TEXT(EDATE(TODAY(),7),"mmm-yy")</f>
        <v>Nov-26</v>
      </c>
      <c r="E24" s="18">
        <f ca="1">COUNTIFS(License_Register!$M$2:$M$306,"&gt;="&amp;EDATE(EOMONTH(TODAY(),-1),7)+1,License_Register!$M$2:$M$306,"&lt;"&amp;EDATE(EOMONTH(TODAY(),-1),8)+1)</f>
        <v>0</v>
      </c>
    </row>
    <row r="25" spans="1:5">
      <c r="A25" t="s">
        <v>30</v>
      </c>
      <c r="B25" s="18">
        <f>COUNTIF(License_Register!$C$2:$C$306,A25)</f>
        <v>0</v>
      </c>
      <c r="D25" t="str">
        <f ca="1">TEXT(EDATE(TODAY(),8),"mmm-yy")</f>
        <v>Dec-26</v>
      </c>
      <c r="E25" s="18">
        <f ca="1">COUNTIFS(License_Register!$M$2:$M$306,"&gt;="&amp;EDATE(EOMONTH(TODAY(),-1),8)+1,License_Register!$M$2:$M$306,"&lt;"&amp;EDATE(EOMONTH(TODAY(),-1),9)+1)</f>
        <v>0</v>
      </c>
    </row>
    <row r="26" spans="1:5">
      <c r="A26" t="s">
        <v>31</v>
      </c>
      <c r="B26" s="18">
        <f>COUNTIF(License_Register!$C$2:$C$306,A26)</f>
        <v>5</v>
      </c>
      <c r="D26" t="str">
        <f ca="1">TEXT(EDATE(TODAY(),9),"mmm-yy")</f>
        <v>Jan-27</v>
      </c>
      <c r="E26" s="18">
        <f ca="1">COUNTIFS(License_Register!$M$2:$M$306,"&gt;="&amp;EDATE(EOMONTH(TODAY(),-1),9)+1,License_Register!$M$2:$M$306,"&lt;"&amp;EDATE(EOMONTH(TODAY(),-1),10)+1)</f>
        <v>3</v>
      </c>
    </row>
    <row r="27" spans="1:5">
      <c r="D27" t="str">
        <f ca="1">TEXT(EDATE(TODAY(),10),"mmm-yy")</f>
        <v>Feb-27</v>
      </c>
      <c r="E27" s="18">
        <f ca="1">COUNTIFS(License_Register!$M$2:$M$306,"&gt;="&amp;EDATE(EOMONTH(TODAY(),-1),10)+1,License_Register!$M$2:$M$306,"&lt;"&amp;EDATE(EOMONTH(TODAY(),-1),11)+1)</f>
        <v>13</v>
      </c>
    </row>
    <row r="28" spans="1:5">
      <c r="D28" t="str">
        <f ca="1">TEXT(EDATE(TODAY(),11),"mmm-yy")</f>
        <v>Mar-27</v>
      </c>
      <c r="E28" s="18">
        <f ca="1">COUNTIFS(License_Register!$M$2:$M$306,"&gt;="&amp;EDATE(EOMONTH(TODAY(),-1),11)+1,License_Register!$M$2:$M$306,"&lt;"&amp;EDATE(EOMONTH(TODAY(),-1),12)+1)</f>
        <v>4</v>
      </c>
    </row>
    <row r="29" spans="1:5">
      <c r="A29" s="16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1">
      <c r="A33" t="s">
        <v>36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06"/>
  <sheetViews>
    <sheetView showGridLines="0" tabSelected="1" zoomScale="80" zoomScaleNormal="80" workbookViewId="0">
      <pane ySplit="1" topLeftCell="F40" activePane="bottomLeft" state="frozen"/>
      <selection pane="bottomLeft" activeCell="S51" sqref="S51"/>
    </sheetView>
  </sheetViews>
  <sheetFormatPr defaultColWidth="9.140625" defaultRowHeight="15"/>
  <cols>
    <col min="1" max="1" width="11.140625" customWidth="1"/>
    <col min="2" max="2" width="17.42578125" customWidth="1"/>
    <col min="3" max="3" width="18" style="45" customWidth="1"/>
    <col min="4" max="4" width="16" style="45" customWidth="1"/>
    <col min="5" max="5" width="12.42578125" customWidth="1"/>
    <col min="6" max="6" width="26.28515625" customWidth="1"/>
    <col min="7" max="7" width="17.140625" hidden="1" customWidth="1"/>
    <col min="8" max="8" width="14" customWidth="1"/>
    <col min="9" max="9" width="16" customWidth="1"/>
    <col min="10" max="10" width="18" customWidth="1"/>
    <col min="11" max="11" width="17.42578125" customWidth="1"/>
    <col min="12" max="13" width="12" customWidth="1"/>
    <col min="14" max="14" width="8.140625" customWidth="1"/>
    <col min="15" max="15" width="9.7109375" customWidth="1"/>
    <col min="16" max="16" width="6.7109375" customWidth="1"/>
    <col min="17" max="17" width="12" customWidth="1"/>
    <col min="18" max="18" width="10" customWidth="1"/>
    <col min="19" max="19" width="12" customWidth="1"/>
    <col min="20" max="20" width="11" customWidth="1"/>
    <col min="21" max="21" width="12" customWidth="1"/>
    <col min="22" max="22" width="10" customWidth="1"/>
    <col min="23" max="24" width="12" customWidth="1"/>
    <col min="25" max="25" width="11" customWidth="1"/>
    <col min="26" max="26" width="15" customWidth="1"/>
    <col min="27" max="27" width="14" customWidth="1"/>
    <col min="28" max="28" width="13" customWidth="1"/>
    <col min="29" max="29" width="14" customWidth="1"/>
    <col min="30" max="30" width="16" customWidth="1"/>
    <col min="31" max="31" width="14" customWidth="1"/>
    <col min="32" max="32" width="30" customWidth="1"/>
    <col min="33" max="33" width="28" customWidth="1"/>
  </cols>
  <sheetData>
    <row r="1" spans="1:33" ht="30" customHeight="1">
      <c r="A1" s="19" t="s">
        <v>37</v>
      </c>
      <c r="B1" s="19" t="s">
        <v>38</v>
      </c>
      <c r="C1" s="19" t="s">
        <v>19</v>
      </c>
      <c r="D1" s="19" t="s">
        <v>39</v>
      </c>
      <c r="E1" s="19" t="s">
        <v>40</v>
      </c>
      <c r="F1" s="19" t="s">
        <v>41</v>
      </c>
      <c r="G1" s="19" t="s">
        <v>42</v>
      </c>
      <c r="H1" s="19" t="s">
        <v>43</v>
      </c>
      <c r="I1" s="19" t="s">
        <v>44</v>
      </c>
      <c r="J1" s="19" t="s">
        <v>45</v>
      </c>
      <c r="K1" s="19" t="s">
        <v>46</v>
      </c>
      <c r="L1" s="19" t="s">
        <v>47</v>
      </c>
      <c r="M1" s="19" t="s">
        <v>48</v>
      </c>
      <c r="N1" s="19" t="s">
        <v>49</v>
      </c>
      <c r="O1" s="19" t="s">
        <v>50</v>
      </c>
      <c r="P1" s="19" t="s">
        <v>51</v>
      </c>
      <c r="Q1" s="19" t="s">
        <v>14</v>
      </c>
      <c r="R1" s="19" t="s">
        <v>15</v>
      </c>
      <c r="S1" s="19" t="s">
        <v>16</v>
      </c>
      <c r="T1" s="19" t="s">
        <v>52</v>
      </c>
      <c r="U1" s="19" t="s">
        <v>53</v>
      </c>
      <c r="V1" s="19" t="s">
        <v>54</v>
      </c>
      <c r="W1" s="19" t="s">
        <v>55</v>
      </c>
      <c r="X1" s="19" t="s">
        <v>56</v>
      </c>
      <c r="Y1" s="19" t="s">
        <v>57</v>
      </c>
      <c r="Z1" s="19" t="s">
        <v>58</v>
      </c>
      <c r="AA1" s="19" t="s">
        <v>59</v>
      </c>
      <c r="AB1" s="19" t="s">
        <v>60</v>
      </c>
      <c r="AC1" s="19" t="s">
        <v>61</v>
      </c>
      <c r="AD1" s="19" t="s">
        <v>62</v>
      </c>
      <c r="AE1" s="19" t="s">
        <v>63</v>
      </c>
      <c r="AF1" s="19" t="s">
        <v>64</v>
      </c>
      <c r="AG1" s="19" t="s">
        <v>65</v>
      </c>
    </row>
    <row r="2" spans="1:33" ht="15.75">
      <c r="A2" s="20" t="s">
        <v>66</v>
      </c>
      <c r="B2" s="20" t="s">
        <v>67</v>
      </c>
      <c r="C2" s="44" t="s">
        <v>29</v>
      </c>
      <c r="D2" s="44" t="s">
        <v>68</v>
      </c>
      <c r="E2" s="20" t="s">
        <v>69</v>
      </c>
      <c r="F2" s="21" t="s">
        <v>70</v>
      </c>
      <c r="G2" s="21" t="s">
        <v>71</v>
      </c>
      <c r="H2" s="20" t="s">
        <v>72</v>
      </c>
      <c r="I2" s="20" t="s">
        <v>73</v>
      </c>
      <c r="J2" s="20" t="s">
        <v>74</v>
      </c>
      <c r="K2" s="21" t="s">
        <v>71</v>
      </c>
      <c r="L2" s="22">
        <v>45319</v>
      </c>
      <c r="M2" s="22">
        <v>45836</v>
      </c>
      <c r="N2" s="23">
        <f t="shared" ref="N2:N70" ca="1" si="0">IF($F2="","",IF($M2="","",$M2-TODAY()))</f>
        <v>-304</v>
      </c>
      <c r="O2" s="20" t="s">
        <v>75</v>
      </c>
      <c r="P2" s="20" t="s">
        <v>76</v>
      </c>
      <c r="Q2" s="24">
        <v>200</v>
      </c>
      <c r="R2" s="24">
        <v>0</v>
      </c>
      <c r="S2" s="23">
        <f t="shared" ref="S2:S70" si="1">IF($F2="","",IF(OR($Q2="",$R2=""),"",$Q2-$R2))</f>
        <v>200</v>
      </c>
      <c r="T2" s="25">
        <f t="shared" ref="T2:T70" si="2">IF($F2="","",IF(OR($Q2="",$Q2=0,$R2=""),"",$R2/$Q2))</f>
        <v>0</v>
      </c>
      <c r="U2" s="26">
        <v>0</v>
      </c>
      <c r="V2" s="20" t="s">
        <v>77</v>
      </c>
      <c r="W2" s="27">
        <v>2</v>
      </c>
      <c r="X2" s="22"/>
      <c r="Y2" s="23" t="str">
        <f t="shared" ref="Y2:Y70" ca="1" si="3">IF($F2="","",IF($X2="","",$X2-TODAY()))</f>
        <v/>
      </c>
      <c r="Z2" s="20" t="s">
        <v>78</v>
      </c>
      <c r="AA2" s="28" t="str">
        <f ca="1">IF($F2="","",IF($M2="","Missing expiry",IF($N2&lt;0,"Expired",IF($N2&lt;=Settings!$B$2,"Urgent",IF($N2&lt;=Settings!$B$3,"Review","Active")))))</f>
        <v>Expired</v>
      </c>
      <c r="AB2" s="28" t="str">
        <f>IF($F2="","",IF($X2="","",IF($Y2&lt;0,"Past EOL",IF($Y2&lt;=Settings!$B$4,"EOL soon","Supported"))))</f>
        <v/>
      </c>
      <c r="AC2" s="28" t="str">
        <f t="shared" ref="AC2:AC70" ca="1" si="4">IF($F2="","",IF(OR($AA2="Expired",$AA2="Urgent",$AB2="Past EOL",$AB2="EOL soon"),"Yes","No"))</f>
        <v>Yes</v>
      </c>
      <c r="AD2" s="20" t="s">
        <v>79</v>
      </c>
      <c r="AE2" s="22">
        <v>46118</v>
      </c>
      <c r="AF2" s="21"/>
      <c r="AG2" s="40"/>
    </row>
    <row r="3" spans="1:33" ht="15.75">
      <c r="A3" s="20" t="s">
        <v>66</v>
      </c>
      <c r="B3" s="20" t="s">
        <v>67</v>
      </c>
      <c r="C3" s="44" t="s">
        <v>80</v>
      </c>
      <c r="D3" s="44" t="s">
        <v>68</v>
      </c>
      <c r="E3" s="20" t="s">
        <v>69</v>
      </c>
      <c r="F3" s="21" t="s">
        <v>81</v>
      </c>
      <c r="G3" s="21" t="s">
        <v>71</v>
      </c>
      <c r="H3" s="20" t="s">
        <v>72</v>
      </c>
      <c r="I3" s="20" t="s">
        <v>73</v>
      </c>
      <c r="J3" s="20" t="s">
        <v>74</v>
      </c>
      <c r="K3" s="21" t="s">
        <v>71</v>
      </c>
      <c r="L3" s="22">
        <v>45836</v>
      </c>
      <c r="M3" s="22">
        <v>46201</v>
      </c>
      <c r="N3" s="23">
        <f t="shared" ca="1" si="0"/>
        <v>61</v>
      </c>
      <c r="O3" s="20" t="s">
        <v>75</v>
      </c>
      <c r="P3" s="20" t="s">
        <v>76</v>
      </c>
      <c r="Q3" s="24">
        <v>20</v>
      </c>
      <c r="R3" s="24">
        <v>0</v>
      </c>
      <c r="S3" s="23">
        <f t="shared" si="1"/>
        <v>20</v>
      </c>
      <c r="T3" s="25">
        <f t="shared" si="2"/>
        <v>0</v>
      </c>
      <c r="U3" s="26">
        <v>0</v>
      </c>
      <c r="V3" s="20" t="s">
        <v>77</v>
      </c>
      <c r="W3" s="27">
        <v>2</v>
      </c>
      <c r="X3" s="22"/>
      <c r="Y3" s="23" t="str">
        <f t="shared" ca="1" si="3"/>
        <v/>
      </c>
      <c r="Z3" s="20" t="s">
        <v>78</v>
      </c>
      <c r="AA3" s="28" t="str">
        <f ca="1">IF($F3="","",IF($M3="","Missing expiry",IF($N3&lt;0,"Expired",IF($N3&lt;=Settings!$B$2,"Urgent",IF($N3&lt;=Settings!$B$3,"Review","Active")))))</f>
        <v>Active</v>
      </c>
      <c r="AB3" s="28" t="str">
        <f>IF($F3="","",IF($X3="","",IF($Y3&lt;0,"Past EOL",IF($Y3&lt;=Settings!$B$4,"EOL soon","Supported"))))</f>
        <v/>
      </c>
      <c r="AC3" s="28" t="str">
        <f t="shared" ca="1" si="4"/>
        <v>No</v>
      </c>
      <c r="AD3" s="20" t="s">
        <v>79</v>
      </c>
      <c r="AE3" s="22">
        <v>46118</v>
      </c>
      <c r="AF3" s="21"/>
      <c r="AG3" s="40"/>
    </row>
    <row r="4" spans="1:33" ht="15.75">
      <c r="A4" s="20" t="s">
        <v>66</v>
      </c>
      <c r="B4" s="20" t="s">
        <v>67</v>
      </c>
      <c r="C4" s="44" t="s">
        <v>29</v>
      </c>
      <c r="D4" s="44" t="s">
        <v>68</v>
      </c>
      <c r="E4" s="20" t="s">
        <v>69</v>
      </c>
      <c r="F4" s="21" t="s">
        <v>82</v>
      </c>
      <c r="G4" s="21" t="s">
        <v>71</v>
      </c>
      <c r="H4" s="20" t="s">
        <v>72</v>
      </c>
      <c r="I4" s="20" t="s">
        <v>73</v>
      </c>
      <c r="J4" s="20" t="s">
        <v>74</v>
      </c>
      <c r="K4" s="21" t="s">
        <v>71</v>
      </c>
      <c r="L4" s="22">
        <v>45837</v>
      </c>
      <c r="M4" s="22">
        <v>46202</v>
      </c>
      <c r="N4" s="23">
        <f t="shared" ca="1" si="0"/>
        <v>62</v>
      </c>
      <c r="O4" s="20" t="s">
        <v>75</v>
      </c>
      <c r="P4" s="20" t="s">
        <v>76</v>
      </c>
      <c r="Q4" s="24">
        <v>400</v>
      </c>
      <c r="R4" s="24">
        <v>0</v>
      </c>
      <c r="S4" s="23">
        <f t="shared" si="1"/>
        <v>400</v>
      </c>
      <c r="T4" s="25">
        <f t="shared" si="2"/>
        <v>0</v>
      </c>
      <c r="U4" s="26">
        <v>0</v>
      </c>
      <c r="V4" s="20" t="s">
        <v>77</v>
      </c>
      <c r="W4" s="27">
        <v>1</v>
      </c>
      <c r="X4" s="22"/>
      <c r="Y4" s="23" t="str">
        <f t="shared" ca="1" si="3"/>
        <v/>
      </c>
      <c r="Z4" s="20" t="s">
        <v>78</v>
      </c>
      <c r="AA4" s="28" t="str">
        <f ca="1">IF($F4="","",IF($M4="","Missing expiry",IF($N4&lt;0,"Expired",IF($N4&lt;=Settings!$B$2,"Urgent",IF($N4&lt;=Settings!$B$3,"Review","Active")))))</f>
        <v>Active</v>
      </c>
      <c r="AB4" s="28" t="str">
        <f>IF($F4="","",IF($X4="","",IF($Y4&lt;0,"Past EOL",IF($Y4&lt;=Settings!$B$4,"EOL soon","Supported"))))</f>
        <v/>
      </c>
      <c r="AC4" s="28" t="str">
        <f t="shared" ca="1" si="4"/>
        <v>No</v>
      </c>
      <c r="AD4" s="20" t="s">
        <v>79</v>
      </c>
      <c r="AE4" s="22">
        <v>46118</v>
      </c>
      <c r="AF4" s="21"/>
      <c r="AG4" s="40"/>
    </row>
    <row r="5" spans="1:33" ht="15.75">
      <c r="A5" s="20" t="s">
        <v>66</v>
      </c>
      <c r="B5" s="20" t="s">
        <v>67</v>
      </c>
      <c r="C5" s="44" t="s">
        <v>29</v>
      </c>
      <c r="D5" s="44" t="s">
        <v>68</v>
      </c>
      <c r="E5" s="20" t="s">
        <v>69</v>
      </c>
      <c r="F5" s="21" t="s">
        <v>83</v>
      </c>
      <c r="G5" s="21" t="s">
        <v>71</v>
      </c>
      <c r="H5" s="20" t="s">
        <v>72</v>
      </c>
      <c r="I5" s="20" t="s">
        <v>73</v>
      </c>
      <c r="J5" s="20" t="s">
        <v>74</v>
      </c>
      <c r="K5" s="21" t="s">
        <v>71</v>
      </c>
      <c r="L5" s="22">
        <v>45836</v>
      </c>
      <c r="M5" s="22">
        <v>46199</v>
      </c>
      <c r="N5" s="23">
        <f t="shared" ca="1" si="0"/>
        <v>59</v>
      </c>
      <c r="O5" s="20" t="s">
        <v>75</v>
      </c>
      <c r="P5" s="20" t="s">
        <v>76</v>
      </c>
      <c r="Q5" s="24">
        <v>20</v>
      </c>
      <c r="R5" s="24">
        <v>0</v>
      </c>
      <c r="S5" s="23">
        <f t="shared" si="1"/>
        <v>20</v>
      </c>
      <c r="T5" s="25">
        <f t="shared" si="2"/>
        <v>0</v>
      </c>
      <c r="U5" s="26">
        <v>0</v>
      </c>
      <c r="V5" s="20" t="s">
        <v>77</v>
      </c>
      <c r="W5" s="27">
        <v>2</v>
      </c>
      <c r="X5" s="22"/>
      <c r="Y5" s="23" t="str">
        <f t="shared" ca="1" si="3"/>
        <v/>
      </c>
      <c r="Z5" s="20" t="s">
        <v>78</v>
      </c>
      <c r="AA5" s="28" t="str">
        <f ca="1">IF($F5="","",IF($M5="","Missing expiry",IF($N5&lt;0,"Expired",IF($N5&lt;=Settings!$B$2,"Urgent",IF($N5&lt;=Settings!$B$3,"Review","Active")))))</f>
        <v>Review</v>
      </c>
      <c r="AB5" s="28" t="str">
        <f>IF($F5="","",IF($X5="","",IF($Y5&lt;0,"Past EOL",IF($Y5&lt;=Settings!$B$4,"EOL soon","Supported"))))</f>
        <v/>
      </c>
      <c r="AC5" s="28" t="str">
        <f t="shared" ca="1" si="4"/>
        <v>No</v>
      </c>
      <c r="AD5" s="20" t="s">
        <v>79</v>
      </c>
      <c r="AE5" s="22">
        <v>46118</v>
      </c>
      <c r="AF5" s="21"/>
      <c r="AG5" s="40"/>
    </row>
    <row r="6" spans="1:33" ht="15.75">
      <c r="A6" s="20" t="s">
        <v>66</v>
      </c>
      <c r="B6" s="20" t="s">
        <v>67</v>
      </c>
      <c r="C6" s="44" t="s">
        <v>29</v>
      </c>
      <c r="D6" s="44" t="s">
        <v>68</v>
      </c>
      <c r="E6" s="20" t="s">
        <v>69</v>
      </c>
      <c r="F6" s="21" t="s">
        <v>84</v>
      </c>
      <c r="G6" s="21" t="s">
        <v>71</v>
      </c>
      <c r="H6" s="20" t="s">
        <v>72</v>
      </c>
      <c r="I6" s="20" t="s">
        <v>73</v>
      </c>
      <c r="J6" s="20" t="s">
        <v>74</v>
      </c>
      <c r="K6" s="21" t="s">
        <v>71</v>
      </c>
      <c r="L6" s="22">
        <v>45471</v>
      </c>
      <c r="M6" s="22">
        <v>45835</v>
      </c>
      <c r="N6" s="23">
        <f t="shared" ca="1" si="0"/>
        <v>-305</v>
      </c>
      <c r="O6" s="20" t="s">
        <v>75</v>
      </c>
      <c r="P6" s="20" t="s">
        <v>76</v>
      </c>
      <c r="Q6" s="41">
        <v>2900</v>
      </c>
      <c r="R6" s="24">
        <v>0</v>
      </c>
      <c r="S6" s="23">
        <f t="shared" si="1"/>
        <v>2900</v>
      </c>
      <c r="T6" s="25">
        <f t="shared" si="2"/>
        <v>0</v>
      </c>
      <c r="U6" s="26">
        <v>0.5</v>
      </c>
      <c r="V6" s="20" t="s">
        <v>77</v>
      </c>
      <c r="W6" s="27">
        <f t="shared" ref="W6:W70" si="5">IF($F6="","",IF(OR($U6="",$Q6=""),"",$U6*$Q6))</f>
        <v>1450</v>
      </c>
      <c r="X6" s="22">
        <v>45209</v>
      </c>
      <c r="Y6" s="23">
        <f t="shared" ca="1" si="3"/>
        <v>-931</v>
      </c>
      <c r="Z6" s="20" t="s">
        <v>85</v>
      </c>
      <c r="AA6" s="28" t="str">
        <f ca="1">IF($F6="","",IF($M6="","Missing expiry",IF($N6&lt;0,"Expired",IF($N6&lt;=Settings!$B$2,"Urgent",IF($N6&lt;=Settings!$B$3,"Review","Active")))))</f>
        <v>Expired</v>
      </c>
      <c r="AB6" s="28" t="str">
        <f ca="1">IF($F6="","",IF($X6="","",IF($Y6&lt;0,"Past EOL",IF($Y6&lt;=Settings!$B$4,"EOL soon","Supported"))))</f>
        <v>Past EOL</v>
      </c>
      <c r="AC6" s="28" t="str">
        <f t="shared" ca="1" si="4"/>
        <v>Yes</v>
      </c>
      <c r="AD6" s="20" t="s">
        <v>79</v>
      </c>
      <c r="AE6" s="22">
        <v>46118</v>
      </c>
      <c r="AF6" s="21"/>
      <c r="AG6" s="40"/>
    </row>
    <row r="7" spans="1:33" ht="15.75">
      <c r="A7" s="20" t="s">
        <v>66</v>
      </c>
      <c r="B7" s="20" t="s">
        <v>67</v>
      </c>
      <c r="C7" s="44" t="s">
        <v>29</v>
      </c>
      <c r="D7" s="44" t="s">
        <v>68</v>
      </c>
      <c r="E7" s="20" t="s">
        <v>69</v>
      </c>
      <c r="F7" s="21" t="s">
        <v>86</v>
      </c>
      <c r="G7" s="21" t="s">
        <v>71</v>
      </c>
      <c r="H7" s="20" t="s">
        <v>72</v>
      </c>
      <c r="I7" s="20" t="s">
        <v>73</v>
      </c>
      <c r="J7" s="20" t="s">
        <v>74</v>
      </c>
      <c r="K7" s="21" t="s">
        <v>71</v>
      </c>
      <c r="L7" s="22">
        <v>45776</v>
      </c>
      <c r="M7" s="22">
        <v>46202</v>
      </c>
      <c r="N7" s="23">
        <f t="shared" ca="1" si="0"/>
        <v>62</v>
      </c>
      <c r="O7" s="20" t="s">
        <v>75</v>
      </c>
      <c r="P7" s="20" t="s">
        <v>76</v>
      </c>
      <c r="Q7" s="41">
        <v>200</v>
      </c>
      <c r="R7" s="24">
        <v>0</v>
      </c>
      <c r="S7" s="23">
        <f t="shared" si="1"/>
        <v>200</v>
      </c>
      <c r="T7" s="25">
        <f t="shared" si="2"/>
        <v>0</v>
      </c>
      <c r="U7" s="26">
        <v>0</v>
      </c>
      <c r="V7" s="20" t="s">
        <v>77</v>
      </c>
      <c r="W7" s="27">
        <f t="shared" si="5"/>
        <v>0</v>
      </c>
      <c r="X7" s="22">
        <v>46871</v>
      </c>
      <c r="Y7" s="23">
        <f t="shared" ca="1" si="3"/>
        <v>731</v>
      </c>
      <c r="Z7" s="20" t="s">
        <v>78</v>
      </c>
      <c r="AA7" s="28" t="str">
        <f ca="1">IF($F7="","",IF($M7="","Missing expiry",IF($N7&lt;0,"Expired",IF($N7&lt;=Settings!$B$2,"Urgent",IF($N7&lt;=Settings!$B$3,"Review","Active")))))</f>
        <v>Active</v>
      </c>
      <c r="AB7" s="28" t="str">
        <f ca="1">IF($F7="","",IF($X7="","",IF($Y7&lt;0,"Past EOL",IF($Y7&lt;=Settings!$B$4,"EOL soon","Supported"))))</f>
        <v>Supported</v>
      </c>
      <c r="AC7" s="28" t="str">
        <f t="shared" ca="1" si="4"/>
        <v>No</v>
      </c>
      <c r="AD7" s="20" t="s">
        <v>79</v>
      </c>
      <c r="AE7" s="22">
        <v>46118</v>
      </c>
      <c r="AF7" s="21"/>
      <c r="AG7" s="40"/>
    </row>
    <row r="8" spans="1:33">
      <c r="A8" s="20" t="s">
        <v>66</v>
      </c>
      <c r="B8" s="20" t="s">
        <v>67</v>
      </c>
      <c r="C8" s="44" t="s">
        <v>29</v>
      </c>
      <c r="D8" s="44" t="s">
        <v>68</v>
      </c>
      <c r="E8" s="20" t="s">
        <v>69</v>
      </c>
      <c r="F8" s="21" t="s">
        <v>87</v>
      </c>
      <c r="G8" s="21" t="s">
        <v>71</v>
      </c>
      <c r="H8" s="20" t="s">
        <v>72</v>
      </c>
      <c r="I8" s="20" t="s">
        <v>73</v>
      </c>
      <c r="J8" s="20" t="s">
        <v>74</v>
      </c>
      <c r="K8" s="21" t="s">
        <v>71</v>
      </c>
      <c r="L8" s="22">
        <v>45471</v>
      </c>
      <c r="M8" s="22">
        <v>45835</v>
      </c>
      <c r="N8" s="23">
        <f t="shared" ca="1" si="0"/>
        <v>-305</v>
      </c>
      <c r="O8" s="20" t="s">
        <v>75</v>
      </c>
      <c r="P8" s="20" t="s">
        <v>76</v>
      </c>
      <c r="Q8" s="24">
        <v>5</v>
      </c>
      <c r="R8" s="24">
        <v>0</v>
      </c>
      <c r="S8" s="23">
        <f t="shared" si="1"/>
        <v>5</v>
      </c>
      <c r="T8" s="25">
        <f t="shared" si="2"/>
        <v>0</v>
      </c>
      <c r="U8" s="26"/>
      <c r="V8" s="20" t="s">
        <v>77</v>
      </c>
      <c r="W8" s="27">
        <v>5</v>
      </c>
      <c r="X8" s="22"/>
      <c r="Y8" s="23" t="str">
        <f t="shared" ca="1" si="3"/>
        <v/>
      </c>
      <c r="Z8" s="20" t="s">
        <v>78</v>
      </c>
      <c r="AA8" s="28" t="str">
        <f ca="1">IF($F8="","",IF($M8="","Missing expiry",IF($N8&lt;0,"Expired",IF($N8&lt;=Settings!$B$2,"Urgent",IF($N8&lt;=Settings!$B$3,"Review","Active")))))</f>
        <v>Expired</v>
      </c>
      <c r="AB8" s="28" t="str">
        <f>IF($F8="","",IF($X8="","",IF($Y8&lt;0,"Past EOL",IF($Y8&lt;=Settings!$B$4,"EOL soon","Supported"))))</f>
        <v/>
      </c>
      <c r="AC8" s="28" t="str">
        <f t="shared" ca="1" si="4"/>
        <v>Yes</v>
      </c>
      <c r="AD8" s="20" t="s">
        <v>79</v>
      </c>
      <c r="AE8" s="22">
        <v>46118</v>
      </c>
      <c r="AF8" s="21"/>
      <c r="AG8" s="21"/>
    </row>
    <row r="9" spans="1:33">
      <c r="A9" s="20" t="s">
        <v>66</v>
      </c>
      <c r="B9" s="20" t="s">
        <v>67</v>
      </c>
      <c r="C9" s="44" t="s">
        <v>29</v>
      </c>
      <c r="D9" s="44" t="s">
        <v>68</v>
      </c>
      <c r="E9" s="20" t="s">
        <v>69</v>
      </c>
      <c r="F9" s="21" t="s">
        <v>88</v>
      </c>
      <c r="G9" s="21" t="s">
        <v>71</v>
      </c>
      <c r="H9" s="20" t="s">
        <v>72</v>
      </c>
      <c r="I9" s="20" t="s">
        <v>73</v>
      </c>
      <c r="J9" s="20" t="s">
        <v>74</v>
      </c>
      <c r="K9" s="21" t="s">
        <v>71</v>
      </c>
      <c r="L9" s="22">
        <v>45471</v>
      </c>
      <c r="M9" s="22">
        <v>45836</v>
      </c>
      <c r="N9" s="23">
        <f t="shared" ca="1" si="0"/>
        <v>-304</v>
      </c>
      <c r="O9" s="20" t="s">
        <v>75</v>
      </c>
      <c r="P9" s="20" t="s">
        <v>76</v>
      </c>
      <c r="Q9" s="24">
        <v>150</v>
      </c>
      <c r="R9" s="24">
        <v>0</v>
      </c>
      <c r="S9" s="23">
        <f t="shared" si="1"/>
        <v>150</v>
      </c>
      <c r="T9" s="25">
        <f t="shared" si="2"/>
        <v>0</v>
      </c>
      <c r="U9" s="26"/>
      <c r="V9" s="20" t="s">
        <v>77</v>
      </c>
      <c r="W9" s="27">
        <v>2</v>
      </c>
      <c r="X9" s="22"/>
      <c r="Y9" s="23" t="str">
        <f t="shared" ca="1" si="3"/>
        <v/>
      </c>
      <c r="Z9" s="20" t="s">
        <v>78</v>
      </c>
      <c r="AA9" s="28" t="str">
        <f ca="1">IF($F9="","",IF($M9="","Missing expiry",IF($N9&lt;0,"Expired",IF($N9&lt;=Settings!$B$2,"Urgent",IF($N9&lt;=Settings!$B$3,"Review","Active")))))</f>
        <v>Expired</v>
      </c>
      <c r="AB9" s="28" t="str">
        <f>IF($F9="","",IF($X9="","",IF($Y9&lt;0,"Past EOL",IF($Y9&lt;=Settings!$B$4,"EOL soon","Supported"))))</f>
        <v/>
      </c>
      <c r="AC9" s="28" t="str">
        <f t="shared" ca="1" si="4"/>
        <v>Yes</v>
      </c>
      <c r="AD9" s="20" t="s">
        <v>79</v>
      </c>
      <c r="AE9" s="22">
        <v>46118</v>
      </c>
      <c r="AF9" s="21"/>
      <c r="AG9" s="21"/>
    </row>
    <row r="10" spans="1:33">
      <c r="A10" s="20" t="s">
        <v>66</v>
      </c>
      <c r="B10" s="20" t="s">
        <v>67</v>
      </c>
      <c r="C10" s="44" t="s">
        <v>24</v>
      </c>
      <c r="D10" s="44" t="s">
        <v>68</v>
      </c>
      <c r="E10" s="20" t="s">
        <v>89</v>
      </c>
      <c r="F10" s="21" t="s">
        <v>90</v>
      </c>
      <c r="G10" s="21" t="s">
        <v>71</v>
      </c>
      <c r="H10" s="20" t="s">
        <v>72</v>
      </c>
      <c r="I10" s="20" t="s">
        <v>73</v>
      </c>
      <c r="J10" s="20" t="s">
        <v>91</v>
      </c>
      <c r="K10" s="21" t="s">
        <v>71</v>
      </c>
      <c r="L10" s="22">
        <v>45622</v>
      </c>
      <c r="M10" s="22">
        <v>46420</v>
      </c>
      <c r="N10" s="23">
        <f t="shared" ca="1" si="0"/>
        <v>280</v>
      </c>
      <c r="O10" s="20" t="s">
        <v>75</v>
      </c>
      <c r="P10" s="20" t="s">
        <v>76</v>
      </c>
      <c r="Q10" s="41"/>
      <c r="R10" s="41"/>
      <c r="S10" s="23" t="str">
        <f t="shared" si="1"/>
        <v/>
      </c>
      <c r="T10" s="25" t="str">
        <f t="shared" si="2"/>
        <v/>
      </c>
      <c r="U10" s="26"/>
      <c r="V10" s="20" t="s">
        <v>77</v>
      </c>
      <c r="W10" s="27">
        <v>1</v>
      </c>
      <c r="X10" s="22"/>
      <c r="Y10" s="23" t="str">
        <f t="shared" ca="1" si="3"/>
        <v/>
      </c>
      <c r="Z10" s="20" t="s">
        <v>78</v>
      </c>
      <c r="AA10" s="28" t="str">
        <f ca="1">IF($F10="","",IF($M10="","Missing expiry",IF($N10&lt;0,"Expired",IF($N10&lt;=Settings!$B$2,"Urgent",IF($N10&lt;=Settings!$B$3,"Review","Active")))))</f>
        <v>Active</v>
      </c>
      <c r="AB10" s="28" t="str">
        <f>IF($F10="","",IF($X10="","",IF($Y10&lt;0,"Past EOL",IF($Y10&lt;=Settings!$B$4,"EOL soon","Supported"))))</f>
        <v/>
      </c>
      <c r="AC10" s="28" t="str">
        <f t="shared" ca="1" si="4"/>
        <v>No</v>
      </c>
      <c r="AD10" s="20" t="s">
        <v>79</v>
      </c>
      <c r="AE10" s="22">
        <v>46118</v>
      </c>
      <c r="AF10" s="21"/>
      <c r="AG10" s="21"/>
    </row>
    <row r="11" spans="1:33">
      <c r="A11" s="20" t="s">
        <v>66</v>
      </c>
      <c r="B11" s="20" t="s">
        <v>67</v>
      </c>
      <c r="C11" s="44" t="s">
        <v>24</v>
      </c>
      <c r="D11" s="44" t="s">
        <v>68</v>
      </c>
      <c r="E11" s="20" t="s">
        <v>89</v>
      </c>
      <c r="F11" s="21" t="s">
        <v>92</v>
      </c>
      <c r="G11" s="21" t="s">
        <v>71</v>
      </c>
      <c r="H11" s="20" t="s">
        <v>72</v>
      </c>
      <c r="I11" s="20" t="s">
        <v>73</v>
      </c>
      <c r="J11" s="20" t="s">
        <v>91</v>
      </c>
      <c r="K11" s="21" t="s">
        <v>71</v>
      </c>
      <c r="L11" s="22">
        <v>45622</v>
      </c>
      <c r="M11" s="22">
        <v>46420</v>
      </c>
      <c r="N11" s="23">
        <f t="shared" ca="1" si="0"/>
        <v>280</v>
      </c>
      <c r="O11" s="20" t="s">
        <v>75</v>
      </c>
      <c r="P11" s="20" t="s">
        <v>76</v>
      </c>
      <c r="Q11" s="24">
        <v>5</v>
      </c>
      <c r="R11" s="24">
        <v>3</v>
      </c>
      <c r="S11" s="23">
        <f t="shared" si="1"/>
        <v>2</v>
      </c>
      <c r="T11" s="25">
        <f t="shared" si="2"/>
        <v>0.6</v>
      </c>
      <c r="U11" s="26"/>
      <c r="V11" s="20" t="s">
        <v>77</v>
      </c>
      <c r="W11" s="27">
        <v>1</v>
      </c>
      <c r="X11" s="22"/>
      <c r="Y11" s="23" t="str">
        <f t="shared" ca="1" si="3"/>
        <v/>
      </c>
      <c r="Z11" s="20" t="s">
        <v>78</v>
      </c>
      <c r="AA11" s="28" t="str">
        <f ca="1">IF($F11="","",IF($M11="","Missing expiry",IF($N11&lt;0,"Expired",IF($N11&lt;=Settings!$B$2,"Urgent",IF($N11&lt;=Settings!$B$3,"Review","Active")))))</f>
        <v>Active</v>
      </c>
      <c r="AB11" s="28" t="str">
        <f>IF($F11="","",IF($X11="","",IF($Y11&lt;0,"Past EOL",IF($Y11&lt;=Settings!$B$4,"EOL soon","Supported"))))</f>
        <v/>
      </c>
      <c r="AC11" s="28" t="str">
        <f t="shared" ca="1" si="4"/>
        <v>No</v>
      </c>
      <c r="AD11" s="20" t="s">
        <v>79</v>
      </c>
      <c r="AE11" s="22">
        <v>46118</v>
      </c>
      <c r="AF11" s="21"/>
      <c r="AG11" s="21"/>
    </row>
    <row r="12" spans="1:33">
      <c r="A12" s="20" t="s">
        <v>66</v>
      </c>
      <c r="B12" s="20" t="s">
        <v>67</v>
      </c>
      <c r="C12" s="44" t="s">
        <v>24</v>
      </c>
      <c r="D12" s="44" t="s">
        <v>68</v>
      </c>
      <c r="E12" s="20" t="s">
        <v>93</v>
      </c>
      <c r="F12" s="21" t="s">
        <v>94</v>
      </c>
      <c r="G12" s="21" t="s">
        <v>71</v>
      </c>
      <c r="H12" s="20" t="s">
        <v>72</v>
      </c>
      <c r="I12" s="20" t="s">
        <v>73</v>
      </c>
      <c r="J12" s="20" t="s">
        <v>95</v>
      </c>
      <c r="K12" s="21" t="s">
        <v>71</v>
      </c>
      <c r="L12" s="22">
        <v>45471</v>
      </c>
      <c r="M12" s="22">
        <v>45835</v>
      </c>
      <c r="N12" s="23">
        <f t="shared" ca="1" si="0"/>
        <v>-305</v>
      </c>
      <c r="O12" s="20" t="s">
        <v>75</v>
      </c>
      <c r="P12" s="20" t="s">
        <v>76</v>
      </c>
      <c r="Q12" s="24">
        <v>2000</v>
      </c>
      <c r="R12" s="24">
        <v>0</v>
      </c>
      <c r="S12" s="23">
        <f t="shared" si="1"/>
        <v>2000</v>
      </c>
      <c r="T12" s="25">
        <f t="shared" si="2"/>
        <v>0</v>
      </c>
      <c r="U12" s="26">
        <v>0.6</v>
      </c>
      <c r="V12" s="20" t="s">
        <v>77</v>
      </c>
      <c r="W12" s="27">
        <f t="shared" si="5"/>
        <v>1200</v>
      </c>
      <c r="X12" s="22"/>
      <c r="Y12" s="23" t="str">
        <f t="shared" ca="1" si="3"/>
        <v/>
      </c>
      <c r="Z12" s="20" t="s">
        <v>78</v>
      </c>
      <c r="AA12" s="28" t="str">
        <f ca="1">IF($F12="","",IF($M12="","Missing expiry",IF($N12&lt;0,"Expired",IF($N12&lt;=Settings!$B$2,"Urgent",IF($N12&lt;=Settings!$B$3,"Review","Active")))))</f>
        <v>Expired</v>
      </c>
      <c r="AB12" s="28" t="str">
        <f>IF($F12="","",IF($X12="","",IF($Y12&lt;0,"Past EOL",IF($Y12&lt;=Settings!$B$4,"EOL soon","Supported"))))</f>
        <v/>
      </c>
      <c r="AC12" s="28" t="str">
        <f t="shared" ca="1" si="4"/>
        <v>Yes</v>
      </c>
      <c r="AD12" s="20" t="s">
        <v>79</v>
      </c>
      <c r="AE12" s="22">
        <v>46118</v>
      </c>
      <c r="AF12" s="21"/>
      <c r="AG12" s="21"/>
    </row>
    <row r="13" spans="1:33">
      <c r="A13" s="20" t="s">
        <v>66</v>
      </c>
      <c r="B13" s="20" t="s">
        <v>67</v>
      </c>
      <c r="C13" s="44" t="s">
        <v>23</v>
      </c>
      <c r="D13" s="44" t="s">
        <v>68</v>
      </c>
      <c r="E13" s="20" t="s">
        <v>93</v>
      </c>
      <c r="F13" s="21" t="s">
        <v>23</v>
      </c>
      <c r="G13" s="21" t="s">
        <v>71</v>
      </c>
      <c r="H13" s="20" t="s">
        <v>72</v>
      </c>
      <c r="I13" s="20" t="s">
        <v>73</v>
      </c>
      <c r="J13" s="20" t="s">
        <v>95</v>
      </c>
      <c r="K13" s="21" t="s">
        <v>71</v>
      </c>
      <c r="L13" s="22">
        <v>45471</v>
      </c>
      <c r="M13" s="22">
        <v>45835</v>
      </c>
      <c r="N13" s="23">
        <f t="shared" ca="1" si="0"/>
        <v>-305</v>
      </c>
      <c r="O13" s="20" t="s">
        <v>75</v>
      </c>
      <c r="P13" s="20" t="s">
        <v>76</v>
      </c>
      <c r="Q13" s="24">
        <v>200</v>
      </c>
      <c r="R13" s="24">
        <v>0</v>
      </c>
      <c r="S13" s="23">
        <f t="shared" si="1"/>
        <v>200</v>
      </c>
      <c r="T13" s="25">
        <f t="shared" si="2"/>
        <v>0</v>
      </c>
      <c r="U13" s="26"/>
      <c r="V13" s="20" t="s">
        <v>77</v>
      </c>
      <c r="W13" s="27">
        <v>0.6</v>
      </c>
      <c r="X13" s="22"/>
      <c r="Y13" s="23" t="str">
        <f t="shared" ca="1" si="3"/>
        <v/>
      </c>
      <c r="Z13" s="20" t="s">
        <v>78</v>
      </c>
      <c r="AA13" s="28" t="str">
        <f ca="1">IF($F13="","",IF($M13="","Missing expiry",IF($N13&lt;0,"Expired",IF($N13&lt;=Settings!$B$2,"Urgent",IF($N13&lt;=Settings!$B$3,"Review","Active")))))</f>
        <v>Expired</v>
      </c>
      <c r="AB13" s="28" t="str">
        <f>IF($F13="","",IF($X13="","",IF($Y13&lt;0,"Past EOL",IF($Y13&lt;=Settings!$B$4,"EOL soon","Supported"))))</f>
        <v/>
      </c>
      <c r="AC13" s="28" t="str">
        <f t="shared" ca="1" si="4"/>
        <v>Yes</v>
      </c>
      <c r="AD13" s="20" t="s">
        <v>79</v>
      </c>
      <c r="AE13" s="22">
        <v>46118</v>
      </c>
      <c r="AF13" s="21"/>
      <c r="AG13" s="21"/>
    </row>
    <row r="14" spans="1:33" ht="25.5">
      <c r="A14" s="20" t="s">
        <v>66</v>
      </c>
      <c r="B14" s="20" t="s">
        <v>67</v>
      </c>
      <c r="C14" s="44" t="s">
        <v>31</v>
      </c>
      <c r="D14" s="44" t="s">
        <v>68</v>
      </c>
      <c r="E14" s="20" t="s">
        <v>93</v>
      </c>
      <c r="F14" s="21" t="s">
        <v>96</v>
      </c>
      <c r="G14" s="21" t="s">
        <v>71</v>
      </c>
      <c r="H14" s="20" t="s">
        <v>72</v>
      </c>
      <c r="I14" s="20" t="s">
        <v>73</v>
      </c>
      <c r="J14" s="20" t="s">
        <v>95</v>
      </c>
      <c r="K14" s="21" t="s">
        <v>71</v>
      </c>
      <c r="L14" s="22">
        <v>45471</v>
      </c>
      <c r="M14" s="22">
        <v>45835</v>
      </c>
      <c r="N14" s="23">
        <f t="shared" ca="1" si="0"/>
        <v>-305</v>
      </c>
      <c r="O14" s="20" t="s">
        <v>75</v>
      </c>
      <c r="P14" s="20" t="s">
        <v>76</v>
      </c>
      <c r="Q14" s="24">
        <v>50</v>
      </c>
      <c r="R14" s="24">
        <v>4</v>
      </c>
      <c r="S14" s="23">
        <f t="shared" si="1"/>
        <v>46</v>
      </c>
      <c r="T14" s="25">
        <f t="shared" si="2"/>
        <v>0.08</v>
      </c>
      <c r="U14" s="26"/>
      <c r="V14" s="20" t="s">
        <v>77</v>
      </c>
      <c r="W14" s="27">
        <v>2</v>
      </c>
      <c r="X14" s="22"/>
      <c r="Y14" s="23" t="str">
        <f t="shared" ca="1" si="3"/>
        <v/>
      </c>
      <c r="Z14" s="20" t="s">
        <v>78</v>
      </c>
      <c r="AA14" s="28" t="str">
        <f ca="1">IF($F14="","",IF($M14="","Missing expiry",IF($N14&lt;0,"Expired",IF($N14&lt;=Settings!$B$2,"Urgent",IF($N14&lt;=Settings!$B$3,"Review","Active")))))</f>
        <v>Expired</v>
      </c>
      <c r="AB14" s="28" t="str">
        <f>IF($F14="","",IF($X14="","",IF($Y14&lt;0,"Past EOL",IF($Y14&lt;=Settings!$B$4,"EOL soon","Supported"))))</f>
        <v/>
      </c>
      <c r="AC14" s="28" t="str">
        <f t="shared" ca="1" si="4"/>
        <v>Yes</v>
      </c>
      <c r="AD14" s="20" t="s">
        <v>79</v>
      </c>
      <c r="AE14" s="22">
        <v>46118</v>
      </c>
      <c r="AF14" s="21"/>
      <c r="AG14" s="21"/>
    </row>
    <row r="15" spans="1:33">
      <c r="A15" s="20" t="s">
        <v>66</v>
      </c>
      <c r="B15" s="20" t="s">
        <v>67</v>
      </c>
      <c r="C15" s="44" t="s">
        <v>31</v>
      </c>
      <c r="D15" s="44" t="s">
        <v>68</v>
      </c>
      <c r="E15" s="20" t="s">
        <v>93</v>
      </c>
      <c r="F15" s="21" t="s">
        <v>97</v>
      </c>
      <c r="G15" s="21" t="s">
        <v>71</v>
      </c>
      <c r="H15" s="20" t="s">
        <v>72</v>
      </c>
      <c r="I15" s="20" t="s">
        <v>73</v>
      </c>
      <c r="J15" s="20" t="s">
        <v>95</v>
      </c>
      <c r="K15" s="21" t="s">
        <v>71</v>
      </c>
      <c r="L15" s="22">
        <v>45471</v>
      </c>
      <c r="M15" s="22">
        <v>45835</v>
      </c>
      <c r="N15" s="23">
        <f t="shared" ca="1" si="0"/>
        <v>-305</v>
      </c>
      <c r="O15" s="20" t="s">
        <v>75</v>
      </c>
      <c r="P15" s="20" t="s">
        <v>76</v>
      </c>
      <c r="Q15" s="24">
        <v>50</v>
      </c>
      <c r="R15" s="24">
        <v>0</v>
      </c>
      <c r="S15" s="23">
        <f t="shared" si="1"/>
        <v>50</v>
      </c>
      <c r="T15" s="25">
        <f t="shared" si="2"/>
        <v>0</v>
      </c>
      <c r="U15" s="26">
        <v>2</v>
      </c>
      <c r="V15" s="20" t="s">
        <v>77</v>
      </c>
      <c r="W15" s="27">
        <f t="shared" si="5"/>
        <v>100</v>
      </c>
      <c r="X15" s="22"/>
      <c r="Y15" s="23" t="str">
        <f t="shared" ca="1" si="3"/>
        <v/>
      </c>
      <c r="Z15" s="20" t="s">
        <v>78</v>
      </c>
      <c r="AA15" s="28" t="str">
        <f ca="1">IF($F15="","",IF($M15="","Missing expiry",IF($N15&lt;0,"Expired",IF($N15&lt;=Settings!$B$2,"Urgent",IF($N15&lt;=Settings!$B$3,"Review","Active")))))</f>
        <v>Expired</v>
      </c>
      <c r="AB15" s="28" t="str">
        <f>IF($F15="","",IF($X15="","",IF($Y15&lt;0,"Past EOL",IF($Y15&lt;=Settings!$B$4,"EOL soon","Supported"))))</f>
        <v/>
      </c>
      <c r="AC15" s="28" t="str">
        <f t="shared" ca="1" si="4"/>
        <v>Yes</v>
      </c>
      <c r="AD15" s="20" t="s">
        <v>79</v>
      </c>
      <c r="AE15" s="22">
        <v>46118</v>
      </c>
      <c r="AF15" s="21"/>
      <c r="AG15" s="21"/>
    </row>
    <row r="16" spans="1:33">
      <c r="A16" s="20" t="s">
        <v>66</v>
      </c>
      <c r="B16" s="20" t="s">
        <v>67</v>
      </c>
      <c r="C16" s="44" t="s">
        <v>31</v>
      </c>
      <c r="D16" s="44" t="s">
        <v>68</v>
      </c>
      <c r="E16" s="20" t="s">
        <v>93</v>
      </c>
      <c r="F16" s="21" t="s">
        <v>98</v>
      </c>
      <c r="G16" s="21" t="s">
        <v>71</v>
      </c>
      <c r="H16" s="20" t="s">
        <v>72</v>
      </c>
      <c r="I16" s="20" t="s">
        <v>73</v>
      </c>
      <c r="J16" s="20" t="s">
        <v>99</v>
      </c>
      <c r="K16" s="21" t="s">
        <v>71</v>
      </c>
      <c r="L16" s="22">
        <v>45471</v>
      </c>
      <c r="M16" s="22">
        <v>45835</v>
      </c>
      <c r="N16" s="23">
        <f t="shared" ca="1" si="0"/>
        <v>-305</v>
      </c>
      <c r="O16" s="20" t="s">
        <v>75</v>
      </c>
      <c r="P16" s="20" t="s">
        <v>76</v>
      </c>
      <c r="Q16" s="24">
        <v>200</v>
      </c>
      <c r="R16" s="24">
        <v>0</v>
      </c>
      <c r="S16" s="23">
        <f t="shared" si="1"/>
        <v>200</v>
      </c>
      <c r="T16" s="25">
        <f t="shared" si="2"/>
        <v>0</v>
      </c>
      <c r="U16" s="26">
        <v>5</v>
      </c>
      <c r="V16" s="20" t="s">
        <v>77</v>
      </c>
      <c r="W16" s="27">
        <f t="shared" si="5"/>
        <v>1000</v>
      </c>
      <c r="X16" s="22"/>
      <c r="Y16" s="23" t="str">
        <f t="shared" ca="1" si="3"/>
        <v/>
      </c>
      <c r="Z16" s="20" t="s">
        <v>78</v>
      </c>
      <c r="AA16" s="28" t="str">
        <f ca="1">IF($F16="","",IF($M16="","Missing expiry",IF($N16&lt;0,"Expired",IF($N16&lt;=Settings!$B$2,"Urgent",IF($N16&lt;=Settings!$B$3,"Review","Active")))))</f>
        <v>Expired</v>
      </c>
      <c r="AB16" s="28" t="str">
        <f>IF($F16="","",IF($X16="","",IF($Y16&lt;0,"Past EOL",IF($Y16&lt;=Settings!$B$4,"EOL soon","Supported"))))</f>
        <v/>
      </c>
      <c r="AC16" s="28" t="str">
        <f t="shared" ca="1" si="4"/>
        <v>Yes</v>
      </c>
      <c r="AD16" s="20" t="s">
        <v>79</v>
      </c>
      <c r="AE16" s="22">
        <v>46118</v>
      </c>
      <c r="AF16" s="21"/>
      <c r="AG16" s="21"/>
    </row>
    <row r="17" spans="1:33" ht="15.75">
      <c r="A17" s="20" t="s">
        <v>100</v>
      </c>
      <c r="B17" s="20" t="s">
        <v>101</v>
      </c>
      <c r="C17" s="44" t="s">
        <v>22</v>
      </c>
      <c r="D17" s="44" t="s">
        <v>102</v>
      </c>
      <c r="E17" s="20" t="s">
        <v>103</v>
      </c>
      <c r="F17" s="21" t="s">
        <v>104</v>
      </c>
      <c r="G17" s="21" t="s">
        <v>105</v>
      </c>
      <c r="H17" s="20" t="s">
        <v>72</v>
      </c>
      <c r="I17" s="20" t="s">
        <v>73</v>
      </c>
      <c r="J17" s="20" t="s">
        <v>106</v>
      </c>
      <c r="K17" s="21" t="s">
        <v>107</v>
      </c>
      <c r="L17" s="22">
        <v>46116</v>
      </c>
      <c r="M17" s="22">
        <v>46314</v>
      </c>
      <c r="N17" s="23">
        <f t="shared" ca="1" si="0"/>
        <v>174</v>
      </c>
      <c r="O17" s="20" t="s">
        <v>108</v>
      </c>
      <c r="P17" s="20" t="s">
        <v>76</v>
      </c>
      <c r="Q17" s="24">
        <v>1</v>
      </c>
      <c r="R17" s="24">
        <v>1</v>
      </c>
      <c r="S17" s="23">
        <f t="shared" si="1"/>
        <v>0</v>
      </c>
      <c r="T17" s="25">
        <f t="shared" si="2"/>
        <v>1</v>
      </c>
      <c r="U17" s="26">
        <v>300</v>
      </c>
      <c r="V17" s="20" t="s">
        <v>77</v>
      </c>
      <c r="W17" s="27">
        <f t="shared" si="5"/>
        <v>300</v>
      </c>
      <c r="X17" s="22"/>
      <c r="Y17" s="23" t="str">
        <f t="shared" ca="1" si="3"/>
        <v/>
      </c>
      <c r="Z17" s="20" t="s">
        <v>85</v>
      </c>
      <c r="AA17" s="28" t="str">
        <f ca="1">IF($F17="","",IF($M17="","Missing expiry",IF($N17&lt;0,"Expired",IF($N17&lt;=Settings!$B$2,"Urgent",IF($N17&lt;=Settings!$B$3,"Review","Active")))))</f>
        <v>Active</v>
      </c>
      <c r="AB17" s="28" t="str">
        <f>IF($F17="","",IF($X17="","",IF($Y17&lt;0,"Past EOL",IF($Y17&lt;=Settings!$B$4,"EOL soon","Supported"))))</f>
        <v/>
      </c>
      <c r="AC17" s="28" t="str">
        <f t="shared" ca="1" si="4"/>
        <v>No</v>
      </c>
      <c r="AD17" s="20" t="s">
        <v>109</v>
      </c>
      <c r="AE17" s="22">
        <v>46118</v>
      </c>
      <c r="AF17" s="21" t="s">
        <v>110</v>
      </c>
      <c r="AG17" s="40"/>
    </row>
    <row r="18" spans="1:33" ht="15.75">
      <c r="A18" s="20" t="s">
        <v>100</v>
      </c>
      <c r="B18" s="20" t="s">
        <v>101</v>
      </c>
      <c r="C18" s="44" t="s">
        <v>22</v>
      </c>
      <c r="D18" s="44" t="s">
        <v>102</v>
      </c>
      <c r="E18" s="20" t="s">
        <v>103</v>
      </c>
      <c r="F18" s="21" t="s">
        <v>104</v>
      </c>
      <c r="G18" s="21" t="s">
        <v>111</v>
      </c>
      <c r="H18" s="20" t="s">
        <v>72</v>
      </c>
      <c r="I18" s="20" t="s">
        <v>73</v>
      </c>
      <c r="J18" s="20" t="s">
        <v>106</v>
      </c>
      <c r="K18" s="21" t="s">
        <v>112</v>
      </c>
      <c r="L18" s="22">
        <v>45780</v>
      </c>
      <c r="M18" s="22">
        <v>46150</v>
      </c>
      <c r="N18" s="23">
        <f t="shared" ca="1" si="0"/>
        <v>10</v>
      </c>
      <c r="O18" s="20" t="s">
        <v>75</v>
      </c>
      <c r="P18" s="20" t="s">
        <v>76</v>
      </c>
      <c r="Q18" s="24">
        <v>1</v>
      </c>
      <c r="R18" s="24">
        <v>1</v>
      </c>
      <c r="S18" s="23">
        <f t="shared" si="1"/>
        <v>0</v>
      </c>
      <c r="T18" s="25">
        <f t="shared" si="2"/>
        <v>1</v>
      </c>
      <c r="U18" s="26">
        <v>300</v>
      </c>
      <c r="V18" s="20" t="s">
        <v>77</v>
      </c>
      <c r="W18" s="27">
        <f t="shared" si="5"/>
        <v>300</v>
      </c>
      <c r="X18" s="22"/>
      <c r="Y18" s="23"/>
      <c r="Z18" s="20" t="s">
        <v>85</v>
      </c>
      <c r="AA18" s="28" t="str">
        <f ca="1">IF($F18="","",IF($M18="","Missing expiry",IF($N18&lt;0,"Expired",IF($N18&lt;=Settings!$B$2,"Urgent",IF($N18&lt;=Settings!$B$3,"Review","Active")))))</f>
        <v>Urgent</v>
      </c>
      <c r="AB18" s="28" t="str">
        <f>IF($F18="","",IF($X18="","",IF($Y18&lt;0,"Past EOL",IF($Y18&lt;=Settings!$B$4,"EOL soon","Supported"))))</f>
        <v/>
      </c>
      <c r="AC18" s="28" t="str">
        <f t="shared" ca="1" si="4"/>
        <v>Yes</v>
      </c>
      <c r="AD18" s="20" t="s">
        <v>109</v>
      </c>
      <c r="AE18" s="22">
        <v>46118</v>
      </c>
      <c r="AF18" s="21" t="s">
        <v>110</v>
      </c>
      <c r="AG18" s="40"/>
    </row>
    <row r="19" spans="1:33" ht="15.75">
      <c r="A19" s="20" t="s">
        <v>66</v>
      </c>
      <c r="B19" s="20" t="s">
        <v>67</v>
      </c>
      <c r="C19" s="44" t="s">
        <v>23</v>
      </c>
      <c r="D19" s="44" t="s">
        <v>68</v>
      </c>
      <c r="E19" s="20" t="s">
        <v>113</v>
      </c>
      <c r="F19" s="21" t="s">
        <v>113</v>
      </c>
      <c r="G19" s="21"/>
      <c r="H19" s="20" t="s">
        <v>72</v>
      </c>
      <c r="I19" s="20" t="s">
        <v>73</v>
      </c>
      <c r="J19" s="20" t="s">
        <v>95</v>
      </c>
      <c r="K19" s="21"/>
      <c r="L19" s="22"/>
      <c r="M19" s="22"/>
      <c r="N19" s="23" t="str">
        <f t="shared" ca="1" si="0"/>
        <v/>
      </c>
      <c r="O19" s="20"/>
      <c r="P19" s="20"/>
      <c r="Q19" s="24"/>
      <c r="R19" s="24"/>
      <c r="S19" s="23" t="str">
        <f t="shared" si="1"/>
        <v/>
      </c>
      <c r="T19" s="25" t="str">
        <f t="shared" si="2"/>
        <v/>
      </c>
      <c r="U19" s="26"/>
      <c r="V19" s="20"/>
      <c r="W19" s="27" t="str">
        <f t="shared" si="5"/>
        <v/>
      </c>
      <c r="X19" s="22"/>
      <c r="Y19" s="23"/>
      <c r="Z19" s="20"/>
      <c r="AA19" s="28" t="str">
        <f>IF($F19="","",IF($M19="","Missing expiry",IF($N19&lt;0,"Expired",IF($N19&lt;=Settings!$B$2,"Urgent",IF($N19&lt;=Settings!$B$3,"Review","Active")))))</f>
        <v>Missing expiry</v>
      </c>
      <c r="AB19" s="28" t="str">
        <f>IF($F19="","",IF($X19="","",IF($Y19&lt;0,"Past EOL",IF($Y19&lt;=Settings!$B$4,"EOL soon","Supported"))))</f>
        <v/>
      </c>
      <c r="AC19" s="28" t="str">
        <f t="shared" si="4"/>
        <v>No</v>
      </c>
      <c r="AD19" s="20"/>
      <c r="AE19" s="22"/>
      <c r="AF19" s="21"/>
      <c r="AG19" s="40"/>
    </row>
    <row r="20" spans="1:33" ht="15.75">
      <c r="A20" s="20" t="s">
        <v>66</v>
      </c>
      <c r="B20" s="20" t="s">
        <v>67</v>
      </c>
      <c r="C20" s="44" t="s">
        <v>23</v>
      </c>
      <c r="D20" s="44" t="s">
        <v>68</v>
      </c>
      <c r="E20" s="20" t="s">
        <v>114</v>
      </c>
      <c r="F20" s="21" t="s">
        <v>115</v>
      </c>
      <c r="G20" s="21"/>
      <c r="H20" s="20" t="s">
        <v>72</v>
      </c>
      <c r="I20" s="20" t="s">
        <v>73</v>
      </c>
      <c r="J20" s="20" t="s">
        <v>95</v>
      </c>
      <c r="K20" s="21"/>
      <c r="L20" s="22"/>
      <c r="M20" s="22"/>
      <c r="N20" s="23" t="str">
        <f t="shared" ca="1" si="0"/>
        <v/>
      </c>
      <c r="O20" s="20"/>
      <c r="P20" s="20"/>
      <c r="Q20" s="24"/>
      <c r="R20" s="24"/>
      <c r="S20" s="23" t="str">
        <f t="shared" si="1"/>
        <v/>
      </c>
      <c r="T20" s="25" t="str">
        <f t="shared" si="2"/>
        <v/>
      </c>
      <c r="U20" s="26"/>
      <c r="V20" s="20"/>
      <c r="W20" s="27" t="str">
        <f t="shared" si="5"/>
        <v/>
      </c>
      <c r="X20" s="22"/>
      <c r="Y20" s="23"/>
      <c r="Z20" s="20"/>
      <c r="AA20" s="28" t="str">
        <f>IF($F20="","",IF($M20="","Missing expiry",IF($N20&lt;0,"Expired",IF($N20&lt;=Settings!$B$2,"Urgent",IF($N20&lt;=Settings!$B$3,"Review","Active")))))</f>
        <v>Missing expiry</v>
      </c>
      <c r="AB20" s="28" t="str">
        <f>IF($F20="","",IF($X20="","",IF($Y20&lt;0,"Past EOL",IF($Y20&lt;=Settings!$B$4,"EOL soon","Supported"))))</f>
        <v/>
      </c>
      <c r="AC20" s="28" t="str">
        <f t="shared" si="4"/>
        <v>No</v>
      </c>
      <c r="AD20" s="20"/>
      <c r="AE20" s="22"/>
      <c r="AF20" s="21"/>
      <c r="AG20" s="40"/>
    </row>
    <row r="21" spans="1:33" ht="15.75">
      <c r="A21" s="20" t="s">
        <v>116</v>
      </c>
      <c r="B21" s="20" t="s">
        <v>117</v>
      </c>
      <c r="C21" s="44" t="s">
        <v>29</v>
      </c>
      <c r="D21" s="44" t="s">
        <v>68</v>
      </c>
      <c r="E21" s="20" t="s">
        <v>69</v>
      </c>
      <c r="F21" s="21" t="s">
        <v>70</v>
      </c>
      <c r="G21" s="21"/>
      <c r="H21" s="20" t="s">
        <v>72</v>
      </c>
      <c r="I21" s="20" t="s">
        <v>73</v>
      </c>
      <c r="J21" s="20"/>
      <c r="K21" s="21"/>
      <c r="L21" s="22">
        <v>46059</v>
      </c>
      <c r="M21" s="22">
        <v>46424</v>
      </c>
      <c r="N21" s="23">
        <f t="shared" ca="1" si="0"/>
        <v>284</v>
      </c>
      <c r="O21" s="20" t="s">
        <v>75</v>
      </c>
      <c r="P21" s="20" t="s">
        <v>76</v>
      </c>
      <c r="Q21" s="24">
        <v>80</v>
      </c>
      <c r="R21" s="24">
        <v>420</v>
      </c>
      <c r="S21" s="23">
        <f t="shared" si="1"/>
        <v>-340</v>
      </c>
      <c r="T21" s="25">
        <f t="shared" si="2"/>
        <v>5.25</v>
      </c>
      <c r="U21" s="26"/>
      <c r="V21" s="20"/>
      <c r="W21" s="27"/>
      <c r="X21" s="22"/>
      <c r="Y21" s="23"/>
      <c r="Z21" s="20"/>
      <c r="AA21" s="28" t="str">
        <f ca="1">IF($F21="","",IF($M21="","Missing expiry",IF($N21&lt;0,"Expired",IF($N21&lt;=Settings!$B$2,"Urgent",IF($N21&lt;=Settings!$B$3,"Review","Active")))))</f>
        <v>Active</v>
      </c>
      <c r="AB21" s="28" t="str">
        <f>IF($F21="","",IF($X21="","",IF($Y21&lt;0,"Past EOL",IF($Y21&lt;=Settings!$B$4,"EOL soon","Supported"))))</f>
        <v/>
      </c>
      <c r="AC21" s="28" t="str">
        <f t="shared" ca="1" si="4"/>
        <v>No</v>
      </c>
      <c r="AD21" s="20"/>
      <c r="AE21" s="22"/>
      <c r="AF21" s="21"/>
      <c r="AG21" s="40"/>
    </row>
    <row r="22" spans="1:33" ht="15.75">
      <c r="A22" s="20" t="s">
        <v>116</v>
      </c>
      <c r="B22" s="20" t="s">
        <v>117</v>
      </c>
      <c r="C22" s="44" t="s">
        <v>80</v>
      </c>
      <c r="D22" s="44" t="s">
        <v>68</v>
      </c>
      <c r="E22" s="20" t="s">
        <v>69</v>
      </c>
      <c r="F22" s="21" t="s">
        <v>81</v>
      </c>
      <c r="G22" s="21"/>
      <c r="H22" s="20" t="s">
        <v>72</v>
      </c>
      <c r="I22" s="20" t="s">
        <v>73</v>
      </c>
      <c r="J22" s="20"/>
      <c r="K22" s="21"/>
      <c r="L22" s="22">
        <v>46059</v>
      </c>
      <c r="M22" s="22">
        <v>46424</v>
      </c>
      <c r="N22" s="23">
        <f t="shared" ca="1" si="0"/>
        <v>284</v>
      </c>
      <c r="O22" s="20" t="s">
        <v>75</v>
      </c>
      <c r="P22" s="20" t="s">
        <v>76</v>
      </c>
      <c r="Q22" s="24">
        <v>10</v>
      </c>
      <c r="R22" s="24">
        <v>10</v>
      </c>
      <c r="S22" s="23">
        <f t="shared" si="1"/>
        <v>0</v>
      </c>
      <c r="T22" s="25">
        <f t="shared" si="2"/>
        <v>1</v>
      </c>
      <c r="U22" s="26"/>
      <c r="V22" s="20"/>
      <c r="W22" s="27"/>
      <c r="X22" s="22"/>
      <c r="Y22" s="23"/>
      <c r="Z22" s="20"/>
      <c r="AA22" s="28" t="str">
        <f ca="1">IF($F22="","",IF($M22="","Missing expiry",IF($N22&lt;0,"Expired",IF($N22&lt;=Settings!$B$2,"Urgent",IF($N22&lt;=Settings!$B$3,"Review","Active")))))</f>
        <v>Active</v>
      </c>
      <c r="AB22" s="28" t="str">
        <f>IF($F22="","",IF($X22="","",IF($Y22&lt;0,"Past EOL",IF($Y22&lt;=Settings!$B$4,"EOL soon","Supported"))))</f>
        <v/>
      </c>
      <c r="AC22" s="28" t="str">
        <f t="shared" ca="1" si="4"/>
        <v>No</v>
      </c>
      <c r="AD22" s="20"/>
      <c r="AE22" s="22"/>
      <c r="AF22" s="21"/>
      <c r="AG22" s="40"/>
    </row>
    <row r="23" spans="1:33">
      <c r="A23" s="20" t="s">
        <v>116</v>
      </c>
      <c r="B23" s="20" t="s">
        <v>117</v>
      </c>
      <c r="C23" s="44" t="s">
        <v>29</v>
      </c>
      <c r="D23" s="44" t="s">
        <v>68</v>
      </c>
      <c r="E23" s="20" t="s">
        <v>69</v>
      </c>
      <c r="F23" s="21" t="s">
        <v>82</v>
      </c>
      <c r="G23" s="21"/>
      <c r="H23" s="20" t="s">
        <v>72</v>
      </c>
      <c r="I23" s="20" t="s">
        <v>73</v>
      </c>
      <c r="J23" s="20"/>
      <c r="K23" s="21"/>
      <c r="L23" s="22">
        <v>46059</v>
      </c>
      <c r="M23" s="22">
        <v>46424</v>
      </c>
      <c r="N23" s="23">
        <f t="shared" ca="1" si="0"/>
        <v>284</v>
      </c>
      <c r="O23" s="20" t="s">
        <v>75</v>
      </c>
      <c r="P23" s="20" t="s">
        <v>76</v>
      </c>
      <c r="Q23" s="24">
        <v>200</v>
      </c>
      <c r="R23" s="24">
        <v>198</v>
      </c>
      <c r="S23" s="23">
        <f t="shared" si="1"/>
        <v>2</v>
      </c>
      <c r="T23" s="25">
        <f t="shared" si="2"/>
        <v>0.99</v>
      </c>
      <c r="U23" s="26"/>
      <c r="V23" s="20"/>
      <c r="W23" s="27" t="str">
        <f t="shared" si="5"/>
        <v/>
      </c>
      <c r="X23" s="22"/>
      <c r="Y23" s="23" t="str">
        <f t="shared" ca="1" si="3"/>
        <v/>
      </c>
      <c r="Z23" s="20"/>
      <c r="AA23" s="28" t="str">
        <f ca="1">IF($F23="","",IF($M23="","Missing expiry",IF($N23&lt;0,"Expired",IF($N23&lt;=Settings!$B$2,"Urgent",IF($N23&lt;=Settings!$B$3,"Review","Active")))))</f>
        <v>Active</v>
      </c>
      <c r="AB23" s="28" t="str">
        <f>IF($F23="","",IF($X23="","",IF($Y23&lt;0,"Past EOL",IF($Y23&lt;=Settings!$B$4,"EOL soon","Supported"))))</f>
        <v/>
      </c>
      <c r="AC23" s="28" t="str">
        <f t="shared" ca="1" si="4"/>
        <v>No</v>
      </c>
      <c r="AD23" s="20"/>
      <c r="AE23" s="22"/>
      <c r="AF23" s="21"/>
      <c r="AG23" s="21"/>
    </row>
    <row r="24" spans="1:33">
      <c r="A24" s="20" t="s">
        <v>116</v>
      </c>
      <c r="B24" s="20" t="s">
        <v>117</v>
      </c>
      <c r="C24" s="44" t="s">
        <v>29</v>
      </c>
      <c r="D24" s="44" t="s">
        <v>68</v>
      </c>
      <c r="E24" s="20" t="s">
        <v>69</v>
      </c>
      <c r="F24" s="21" t="s">
        <v>83</v>
      </c>
      <c r="G24" s="21"/>
      <c r="H24" s="20" t="s">
        <v>72</v>
      </c>
      <c r="I24" s="20" t="s">
        <v>73</v>
      </c>
      <c r="J24" s="20"/>
      <c r="K24" s="21"/>
      <c r="L24" s="22">
        <v>45694</v>
      </c>
      <c r="M24" s="22">
        <v>46059</v>
      </c>
      <c r="N24" s="23">
        <f t="shared" ca="1" si="0"/>
        <v>-81</v>
      </c>
      <c r="O24" s="20" t="s">
        <v>75</v>
      </c>
      <c r="P24" s="20" t="s">
        <v>76</v>
      </c>
      <c r="Q24" s="24"/>
      <c r="R24" s="24"/>
      <c r="S24" s="23" t="str">
        <f t="shared" si="1"/>
        <v/>
      </c>
      <c r="T24" s="25" t="str">
        <f t="shared" si="2"/>
        <v/>
      </c>
      <c r="U24" s="26"/>
      <c r="V24" s="20"/>
      <c r="W24" s="27" t="str">
        <f t="shared" si="5"/>
        <v/>
      </c>
      <c r="X24" s="22"/>
      <c r="Y24" s="23" t="str">
        <f t="shared" ca="1" si="3"/>
        <v/>
      </c>
      <c r="Z24" s="20"/>
      <c r="AA24" s="28" t="str">
        <f ca="1">IF($F24="","",IF($M24="","Missing expiry",IF($N24&lt;0,"Expired",IF($N24&lt;=Settings!$B$2,"Urgent",IF($N24&lt;=Settings!$B$3,"Review","Active")))))</f>
        <v>Expired</v>
      </c>
      <c r="AB24" s="28" t="str">
        <f>IF($F24="","",IF($X24="","",IF($Y24&lt;0,"Past EOL",IF($Y24&lt;=Settings!$B$4,"EOL soon","Supported"))))</f>
        <v/>
      </c>
      <c r="AC24" s="28" t="str">
        <f t="shared" ca="1" si="4"/>
        <v>Yes</v>
      </c>
      <c r="AD24" s="20"/>
      <c r="AE24" s="22"/>
      <c r="AF24" s="21"/>
      <c r="AG24" s="21"/>
    </row>
    <row r="25" spans="1:33">
      <c r="A25" s="20" t="s">
        <v>116</v>
      </c>
      <c r="B25" s="20" t="s">
        <v>117</v>
      </c>
      <c r="C25" s="44" t="s">
        <v>29</v>
      </c>
      <c r="D25" s="44" t="s">
        <v>68</v>
      </c>
      <c r="E25" s="20" t="s">
        <v>69</v>
      </c>
      <c r="F25" s="21" t="s">
        <v>84</v>
      </c>
      <c r="G25" s="21"/>
      <c r="H25" s="20" t="s">
        <v>72</v>
      </c>
      <c r="I25" s="20" t="s">
        <v>73</v>
      </c>
      <c r="J25" s="20"/>
      <c r="K25" s="21"/>
      <c r="L25" s="22">
        <v>46059</v>
      </c>
      <c r="M25" s="22">
        <v>46424</v>
      </c>
      <c r="N25" s="23">
        <f t="shared" ca="1" si="0"/>
        <v>284</v>
      </c>
      <c r="O25" s="20" t="s">
        <v>75</v>
      </c>
      <c r="P25" s="20" t="s">
        <v>76</v>
      </c>
      <c r="Q25" s="24">
        <v>100</v>
      </c>
      <c r="R25" s="24">
        <v>0</v>
      </c>
      <c r="S25" s="23">
        <f t="shared" si="1"/>
        <v>100</v>
      </c>
      <c r="T25" s="25">
        <f t="shared" si="2"/>
        <v>0</v>
      </c>
      <c r="U25" s="26"/>
      <c r="V25" s="20"/>
      <c r="W25" s="27" t="str">
        <f t="shared" si="5"/>
        <v/>
      </c>
      <c r="X25" s="22"/>
      <c r="Y25" s="23" t="str">
        <f t="shared" ca="1" si="3"/>
        <v/>
      </c>
      <c r="Z25" s="20"/>
      <c r="AA25" s="28" t="str">
        <f ca="1">IF($F25="","",IF($M25="","Missing expiry",IF($N25&lt;0,"Expired",IF($N25&lt;=Settings!$B$2,"Urgent",IF($N25&lt;=Settings!$B$3,"Review","Active")))))</f>
        <v>Active</v>
      </c>
      <c r="AB25" s="28" t="str">
        <f>IF($F25="","",IF($X25="","",IF($Y25&lt;0,"Past EOL",IF($Y25&lt;=Settings!$B$4,"EOL soon","Supported"))))</f>
        <v/>
      </c>
      <c r="AC25" s="28" t="str">
        <f t="shared" ca="1" si="4"/>
        <v>No</v>
      </c>
      <c r="AD25" s="20"/>
      <c r="AE25" s="22"/>
      <c r="AF25" s="21"/>
      <c r="AG25" s="21"/>
    </row>
    <row r="26" spans="1:33">
      <c r="A26" s="20" t="s">
        <v>116</v>
      </c>
      <c r="B26" s="20" t="s">
        <v>117</v>
      </c>
      <c r="C26" s="44" t="s">
        <v>29</v>
      </c>
      <c r="D26" s="44" t="s">
        <v>68</v>
      </c>
      <c r="E26" s="20" t="s">
        <v>69</v>
      </c>
      <c r="F26" s="21" t="s">
        <v>86</v>
      </c>
      <c r="G26" s="21"/>
      <c r="H26" s="20" t="s">
        <v>72</v>
      </c>
      <c r="I26" s="20" t="s">
        <v>73</v>
      </c>
      <c r="J26" s="20"/>
      <c r="K26" s="21"/>
      <c r="L26" s="22">
        <v>46059</v>
      </c>
      <c r="M26" s="22">
        <v>46424</v>
      </c>
      <c r="N26" s="23">
        <f t="shared" ca="1" si="0"/>
        <v>284</v>
      </c>
      <c r="O26" s="20" t="s">
        <v>75</v>
      </c>
      <c r="P26" s="20" t="s">
        <v>76</v>
      </c>
      <c r="Q26" s="24">
        <v>100</v>
      </c>
      <c r="R26" s="24">
        <v>300</v>
      </c>
      <c r="S26" s="23">
        <f t="shared" si="1"/>
        <v>-200</v>
      </c>
      <c r="T26" s="25">
        <f t="shared" si="2"/>
        <v>3</v>
      </c>
      <c r="U26" s="26"/>
      <c r="V26" s="20"/>
      <c r="W26" s="27" t="str">
        <f t="shared" si="5"/>
        <v/>
      </c>
      <c r="X26" s="22"/>
      <c r="Y26" s="23" t="str">
        <f t="shared" ca="1" si="3"/>
        <v/>
      </c>
      <c r="Z26" s="20"/>
      <c r="AA26" s="28" t="str">
        <f ca="1">IF($F26="","",IF($M26="","Missing expiry",IF($N26&lt;0,"Expired",IF($N26&lt;=Settings!$B$2,"Urgent",IF($N26&lt;=Settings!$B$3,"Review","Active")))))</f>
        <v>Active</v>
      </c>
      <c r="AB26" s="28" t="str">
        <f>IF($F26="","",IF($X26="","",IF($Y26&lt;0,"Past EOL",IF($Y26&lt;=Settings!$B$4,"EOL soon","Supported"))))</f>
        <v/>
      </c>
      <c r="AC26" s="28" t="str">
        <f t="shared" ca="1" si="4"/>
        <v>No</v>
      </c>
      <c r="AD26" s="20"/>
      <c r="AE26" s="22"/>
      <c r="AF26" s="21"/>
      <c r="AG26" s="21"/>
    </row>
    <row r="27" spans="1:33">
      <c r="A27" s="20" t="s">
        <v>116</v>
      </c>
      <c r="B27" s="20" t="s">
        <v>117</v>
      </c>
      <c r="C27" s="44" t="s">
        <v>93</v>
      </c>
      <c r="D27" s="44" t="s">
        <v>68</v>
      </c>
      <c r="E27" s="20" t="s">
        <v>89</v>
      </c>
      <c r="F27" s="21" t="s">
        <v>92</v>
      </c>
      <c r="G27" s="21"/>
      <c r="H27" s="20" t="s">
        <v>72</v>
      </c>
      <c r="I27" s="20" t="s">
        <v>73</v>
      </c>
      <c r="J27" s="20"/>
      <c r="K27" s="21"/>
      <c r="L27" s="22">
        <v>46132</v>
      </c>
      <c r="M27" s="22">
        <v>46496</v>
      </c>
      <c r="N27" s="23">
        <f t="shared" ca="1" si="0"/>
        <v>356</v>
      </c>
      <c r="O27" s="20" t="s">
        <v>75</v>
      </c>
      <c r="P27" s="20" t="s">
        <v>76</v>
      </c>
      <c r="Q27" s="24">
        <v>3</v>
      </c>
      <c r="R27" s="24">
        <v>3</v>
      </c>
      <c r="S27" s="23">
        <f t="shared" si="1"/>
        <v>0</v>
      </c>
      <c r="T27" s="25">
        <f t="shared" si="2"/>
        <v>1</v>
      </c>
      <c r="U27" s="26"/>
      <c r="V27" s="20"/>
      <c r="W27" s="27" t="str">
        <f t="shared" si="5"/>
        <v/>
      </c>
      <c r="X27" s="22"/>
      <c r="Y27" s="23"/>
      <c r="Z27" s="20"/>
      <c r="AA27" s="28" t="str">
        <f ca="1">IF($F27="","",IF($M27="","Missing expiry",IF($N27&lt;0,"Expired",IF($N27&lt;=Settings!$B$2,"Urgent",IF($N27&lt;=Settings!$B$3,"Review","Active")))))</f>
        <v>Active</v>
      </c>
      <c r="AB27" s="28"/>
      <c r="AC27" s="28" t="str">
        <f t="shared" ca="1" si="4"/>
        <v>No</v>
      </c>
      <c r="AD27" s="20"/>
      <c r="AE27" s="22"/>
      <c r="AF27" s="21"/>
      <c r="AG27" s="21"/>
    </row>
    <row r="28" spans="1:33">
      <c r="A28" s="20" t="s">
        <v>116</v>
      </c>
      <c r="B28" s="20" t="s">
        <v>117</v>
      </c>
      <c r="C28" s="44" t="s">
        <v>24</v>
      </c>
      <c r="D28" s="44" t="s">
        <v>68</v>
      </c>
      <c r="E28" s="20" t="s">
        <v>89</v>
      </c>
      <c r="F28" s="21" t="s">
        <v>90</v>
      </c>
      <c r="G28" s="21"/>
      <c r="H28" s="20" t="s">
        <v>72</v>
      </c>
      <c r="I28" s="20" t="s">
        <v>73</v>
      </c>
      <c r="J28" s="20"/>
      <c r="K28" s="21"/>
      <c r="L28" s="22">
        <v>46059</v>
      </c>
      <c r="M28" s="22">
        <v>46424</v>
      </c>
      <c r="N28" s="23">
        <f ca="1">IF($F28="","",IF($M28="","",$M28-TODAY()))</f>
        <v>284</v>
      </c>
      <c r="O28" s="20" t="s">
        <v>75</v>
      </c>
      <c r="P28" s="20" t="s">
        <v>76</v>
      </c>
      <c r="Q28" s="24">
        <v>2750</v>
      </c>
      <c r="R28" s="24">
        <v>2400</v>
      </c>
      <c r="S28" s="23">
        <f t="shared" si="1"/>
        <v>350</v>
      </c>
      <c r="T28" s="25">
        <f t="shared" si="2"/>
        <v>0.87272727272727268</v>
      </c>
      <c r="U28" s="26"/>
      <c r="V28" s="20"/>
      <c r="W28" s="27" t="str">
        <f>IF($F28="","",IF(OR($U28="",$Q28=""),"",$U28*$Q28))</f>
        <v/>
      </c>
      <c r="X28" s="22"/>
      <c r="Y28" s="23" t="str">
        <f ca="1">IF($F28="","",IF($X28="","",$X28-TODAY()))</f>
        <v/>
      </c>
      <c r="Z28" s="20"/>
      <c r="AA28" s="28" t="str">
        <f ca="1">IF($F28="","",IF($M28="","Missing expiry",IF($N28&lt;0,"Expired",IF($N28&lt;=Settings!$B$2,"Urgent",IF($N28&lt;=Settings!$B$3,"Review","Active")))))</f>
        <v>Active</v>
      </c>
      <c r="AB28" s="28" t="str">
        <f>IF($F28="","",IF($X28="","",IF($Y28&lt;0,"Past EOL",IF($Y28&lt;=Settings!$B$4,"EOL soon","Supported"))))</f>
        <v/>
      </c>
      <c r="AC28" s="28" t="str">
        <f t="shared" ca="1" si="4"/>
        <v>No</v>
      </c>
      <c r="AD28" s="20"/>
      <c r="AE28" s="22"/>
      <c r="AF28" s="21"/>
      <c r="AG28" s="21"/>
    </row>
    <row r="29" spans="1:33">
      <c r="A29" s="20" t="s">
        <v>116</v>
      </c>
      <c r="B29" s="20" t="s">
        <v>117</v>
      </c>
      <c r="C29" s="44" t="s">
        <v>24</v>
      </c>
      <c r="D29" s="44" t="s">
        <v>68</v>
      </c>
      <c r="E29" s="20" t="s">
        <v>89</v>
      </c>
      <c r="F29" s="21" t="s">
        <v>118</v>
      </c>
      <c r="G29" s="21"/>
      <c r="H29" s="20" t="s">
        <v>72</v>
      </c>
      <c r="I29" s="20" t="s">
        <v>73</v>
      </c>
      <c r="J29" s="20"/>
      <c r="K29" s="21"/>
      <c r="L29" s="22">
        <v>46059</v>
      </c>
      <c r="M29" s="22">
        <v>46424</v>
      </c>
      <c r="N29" s="23">
        <f t="shared" ca="1" si="0"/>
        <v>284</v>
      </c>
      <c r="O29" s="20" t="s">
        <v>75</v>
      </c>
      <c r="P29" s="20" t="s">
        <v>76</v>
      </c>
      <c r="Q29" s="41"/>
      <c r="R29" s="41"/>
      <c r="S29" s="23" t="str">
        <f t="shared" si="1"/>
        <v/>
      </c>
      <c r="T29" s="25" t="str">
        <f t="shared" si="2"/>
        <v/>
      </c>
      <c r="U29" s="26"/>
      <c r="V29" s="20"/>
      <c r="W29" s="27" t="str">
        <f t="shared" si="5"/>
        <v/>
      </c>
      <c r="X29" s="22"/>
      <c r="Y29" s="23" t="str">
        <f t="shared" ca="1" si="3"/>
        <v/>
      </c>
      <c r="Z29" s="20"/>
      <c r="AA29" s="28" t="str">
        <f ca="1">IF($F29="","",IF($M29="","Missing expiry",IF($N29&lt;0,"Expired",IF($N29&lt;=Settings!$B$2,"Urgent",IF($N29&lt;=Settings!$B$3,"Review","Active")))))</f>
        <v>Active</v>
      </c>
      <c r="AB29" s="28" t="str">
        <f>IF($F29="","",IF($X29="","",IF($Y29&lt;0,"Past EOL",IF($Y29&lt;=Settings!$B$4,"EOL soon","Supported"))))</f>
        <v/>
      </c>
      <c r="AC29" s="28" t="str">
        <f t="shared" ca="1" si="4"/>
        <v>No</v>
      </c>
      <c r="AD29" s="20"/>
      <c r="AE29" s="22"/>
      <c r="AF29" s="21"/>
      <c r="AG29" s="21"/>
    </row>
    <row r="30" spans="1:33">
      <c r="A30" s="20" t="s">
        <v>116</v>
      </c>
      <c r="B30" s="20" t="s">
        <v>117</v>
      </c>
      <c r="C30" s="44" t="s">
        <v>24</v>
      </c>
      <c r="D30" s="44" t="s">
        <v>68</v>
      </c>
      <c r="E30" s="20" t="s">
        <v>89</v>
      </c>
      <c r="F30" s="21" t="s">
        <v>119</v>
      </c>
      <c r="G30" s="21"/>
      <c r="H30" s="20" t="s">
        <v>72</v>
      </c>
      <c r="I30" s="20" t="s">
        <v>73</v>
      </c>
      <c r="J30" s="20"/>
      <c r="K30" s="21"/>
      <c r="L30" s="22">
        <v>46059</v>
      </c>
      <c r="M30" s="22">
        <v>46424</v>
      </c>
      <c r="N30" s="23">
        <f ca="1">IF($F30="","",IF($M30="","",$M30-TODAY()))</f>
        <v>284</v>
      </c>
      <c r="O30" s="20" t="s">
        <v>75</v>
      </c>
      <c r="P30" s="20" t="s">
        <v>76</v>
      </c>
      <c r="Q30" s="41"/>
      <c r="R30" s="41"/>
      <c r="S30" s="23" t="str">
        <f t="shared" si="1"/>
        <v/>
      </c>
      <c r="T30" s="25" t="str">
        <f t="shared" si="2"/>
        <v/>
      </c>
      <c r="U30" s="26"/>
      <c r="V30" s="20"/>
      <c r="W30" s="27" t="str">
        <f>IF($F30="","",IF(OR($U30="",$Q30=""),"",$U30*$Q30))</f>
        <v/>
      </c>
      <c r="X30" s="22"/>
      <c r="Y30" s="23" t="str">
        <f ca="1">IF($F30="","",IF($X30="","",$X30-TODAY()))</f>
        <v/>
      </c>
      <c r="Z30" s="20"/>
      <c r="AA30" s="28" t="str">
        <f ca="1">IF($F30="","",IF($M30="","Missing expiry",IF($N30&lt;0,"Expired",IF($N30&lt;=Settings!$B$2,"Urgent",IF($N30&lt;=Settings!$B$3,"Review","Active")))))</f>
        <v>Active</v>
      </c>
      <c r="AB30" s="28" t="str">
        <f>IF($F30="","",IF($X30="","",IF($Y30&lt;0,"Past EOL",IF($Y30&lt;=Settings!$B$4,"EOL soon","Supported"))))</f>
        <v/>
      </c>
      <c r="AC30" s="28" t="str">
        <f t="shared" ca="1" si="4"/>
        <v>No</v>
      </c>
      <c r="AD30" s="20"/>
      <c r="AE30" s="22"/>
      <c r="AF30" s="21"/>
      <c r="AG30" s="21"/>
    </row>
    <row r="31" spans="1:33">
      <c r="A31" s="20" t="s">
        <v>116</v>
      </c>
      <c r="B31" s="20" t="s">
        <v>117</v>
      </c>
      <c r="C31" s="44" t="s">
        <v>29</v>
      </c>
      <c r="D31" s="44" t="s">
        <v>68</v>
      </c>
      <c r="E31" s="20" t="s">
        <v>89</v>
      </c>
      <c r="F31" s="21" t="s">
        <v>120</v>
      </c>
      <c r="G31" s="21"/>
      <c r="H31" s="20" t="s">
        <v>72</v>
      </c>
      <c r="I31" s="20" t="s">
        <v>73</v>
      </c>
      <c r="J31" s="20"/>
      <c r="K31" s="21"/>
      <c r="L31" s="22">
        <v>46059</v>
      </c>
      <c r="M31" s="22">
        <v>46424</v>
      </c>
      <c r="N31" s="23">
        <f t="shared" ca="1" si="0"/>
        <v>284</v>
      </c>
      <c r="O31" s="20" t="s">
        <v>75</v>
      </c>
      <c r="P31" s="20" t="s">
        <v>76</v>
      </c>
      <c r="Q31" s="41">
        <v>10</v>
      </c>
      <c r="R31" s="41">
        <v>10</v>
      </c>
      <c r="S31" s="23">
        <f t="shared" si="1"/>
        <v>0</v>
      </c>
      <c r="T31" s="25">
        <f t="shared" si="2"/>
        <v>1</v>
      </c>
      <c r="U31" s="26"/>
      <c r="V31" s="20"/>
      <c r="W31" s="27" t="str">
        <f t="shared" si="5"/>
        <v/>
      </c>
      <c r="X31" s="22"/>
      <c r="Y31" s="23" t="str">
        <f t="shared" ca="1" si="3"/>
        <v/>
      </c>
      <c r="Z31" s="20"/>
      <c r="AA31" s="28" t="str">
        <f ca="1">IF($F31="","",IF($M31="","Missing expiry",IF($N31&lt;0,"Expired",IF($N31&lt;=Settings!$B$2,"Urgent",IF($N31&lt;=Settings!$B$3,"Review","Active")))))</f>
        <v>Active</v>
      </c>
      <c r="AB31" s="28" t="str">
        <f>IF($F31="","",IF($X31="","",IF($Y31&lt;0,"Past EOL",IF($Y31&lt;=Settings!$B$4,"EOL soon","Supported"))))</f>
        <v/>
      </c>
      <c r="AC31" s="28" t="str">
        <f t="shared" ca="1" si="4"/>
        <v>No</v>
      </c>
      <c r="AD31" s="20"/>
      <c r="AE31" s="22"/>
      <c r="AF31" s="21"/>
      <c r="AG31" s="21"/>
    </row>
    <row r="32" spans="1:33" ht="25.5">
      <c r="A32" s="20" t="s">
        <v>116</v>
      </c>
      <c r="B32" s="20" t="s">
        <v>117</v>
      </c>
      <c r="C32" s="44" t="s">
        <v>93</v>
      </c>
      <c r="D32" s="44" t="s">
        <v>68</v>
      </c>
      <c r="E32" s="20" t="s">
        <v>93</v>
      </c>
      <c r="F32" s="21" t="s">
        <v>96</v>
      </c>
      <c r="G32" s="21"/>
      <c r="H32" s="20" t="s">
        <v>72</v>
      </c>
      <c r="I32" s="20" t="s">
        <v>73</v>
      </c>
      <c r="J32" s="20"/>
      <c r="K32" s="21"/>
      <c r="L32" s="22">
        <v>46059</v>
      </c>
      <c r="M32" s="22">
        <v>46424</v>
      </c>
      <c r="N32" s="23">
        <f t="shared" ca="1" si="0"/>
        <v>284</v>
      </c>
      <c r="O32" s="20" t="s">
        <v>75</v>
      </c>
      <c r="P32" s="20" t="s">
        <v>76</v>
      </c>
      <c r="Q32" s="41">
        <v>50</v>
      </c>
      <c r="R32" s="41">
        <v>5</v>
      </c>
      <c r="S32" s="23">
        <f t="shared" si="1"/>
        <v>45</v>
      </c>
      <c r="T32" s="25">
        <f t="shared" si="2"/>
        <v>0.1</v>
      </c>
      <c r="U32" s="26"/>
      <c r="V32" s="20"/>
      <c r="W32" s="27" t="str">
        <f t="shared" si="5"/>
        <v/>
      </c>
      <c r="X32" s="22"/>
      <c r="Y32" s="23" t="str">
        <f t="shared" ca="1" si="3"/>
        <v/>
      </c>
      <c r="Z32" s="20"/>
      <c r="AA32" s="28" t="str">
        <f ca="1">IF($F32="","",IF($M32="","Missing expiry",IF($N32&lt;0,"Expired",IF($N32&lt;=Settings!$B$2,"Urgent",IF($N32&lt;=Settings!$B$3,"Review","Active")))))</f>
        <v>Active</v>
      </c>
      <c r="AB32" s="28" t="str">
        <f>IF($F32="","",IF($X32="","",IF($Y32&lt;0,"Past EOL",IF($Y32&lt;=Settings!$B$4,"EOL soon","Supported"))))</f>
        <v/>
      </c>
      <c r="AC32" s="28" t="str">
        <f t="shared" ca="1" si="4"/>
        <v>No</v>
      </c>
      <c r="AD32" s="20"/>
      <c r="AE32" s="22"/>
      <c r="AF32" s="21"/>
      <c r="AG32" s="21"/>
    </row>
    <row r="33" spans="1:33">
      <c r="A33" s="20" t="s">
        <v>116</v>
      </c>
      <c r="B33" s="20" t="s">
        <v>117</v>
      </c>
      <c r="C33" s="44" t="s">
        <v>93</v>
      </c>
      <c r="D33" s="44" t="s">
        <v>68</v>
      </c>
      <c r="E33" s="20" t="s">
        <v>93</v>
      </c>
      <c r="F33" s="21" t="s">
        <v>94</v>
      </c>
      <c r="G33" s="21"/>
      <c r="H33" s="20" t="s">
        <v>72</v>
      </c>
      <c r="I33" s="20" t="s">
        <v>73</v>
      </c>
      <c r="J33" s="20"/>
      <c r="K33" s="21"/>
      <c r="L33" s="22">
        <v>46059</v>
      </c>
      <c r="M33" s="22">
        <v>46424</v>
      </c>
      <c r="N33" s="23">
        <f t="shared" ca="1" si="0"/>
        <v>284</v>
      </c>
      <c r="O33" s="20" t="s">
        <v>75</v>
      </c>
      <c r="P33" s="20" t="s">
        <v>76</v>
      </c>
      <c r="Q33" s="41">
        <v>2750</v>
      </c>
      <c r="R33" s="41">
        <v>0</v>
      </c>
      <c r="S33" s="23">
        <f t="shared" si="1"/>
        <v>2750</v>
      </c>
      <c r="T33" s="25">
        <f t="shared" si="2"/>
        <v>0</v>
      </c>
      <c r="U33" s="26"/>
      <c r="V33" s="20"/>
      <c r="W33" s="27" t="str">
        <f t="shared" si="5"/>
        <v/>
      </c>
      <c r="X33" s="22"/>
      <c r="Y33" s="23" t="str">
        <f t="shared" ca="1" si="3"/>
        <v/>
      </c>
      <c r="Z33" s="20"/>
      <c r="AA33" s="28" t="str">
        <f ca="1">IF($F33="","",IF($M33="","Missing expiry",IF($N33&lt;0,"Expired",IF($N33&lt;=Settings!$B$2,"Urgent",IF($N33&lt;=Settings!$B$3,"Review","Active")))))</f>
        <v>Active</v>
      </c>
      <c r="AB33" s="28" t="str">
        <f>IF($F33="","",IF($X33="","",IF($Y33&lt;0,"Past EOL",IF($Y33&lt;=Settings!$B$4,"EOL soon","Supported"))))</f>
        <v/>
      </c>
      <c r="AC33" s="28" t="str">
        <f t="shared" ca="1" si="4"/>
        <v>No</v>
      </c>
      <c r="AD33" s="20"/>
      <c r="AE33" s="22"/>
      <c r="AF33" s="21"/>
      <c r="AG33" s="21"/>
    </row>
    <row r="34" spans="1:33">
      <c r="A34" s="20" t="s">
        <v>116</v>
      </c>
      <c r="B34" s="20" t="s">
        <v>117</v>
      </c>
      <c r="C34" s="44" t="s">
        <v>26</v>
      </c>
      <c r="D34" s="44" t="s">
        <v>68</v>
      </c>
      <c r="E34" s="20" t="s">
        <v>121</v>
      </c>
      <c r="F34" s="21" t="s">
        <v>122</v>
      </c>
      <c r="G34" s="21"/>
      <c r="H34" s="20" t="s">
        <v>123</v>
      </c>
      <c r="I34" s="20" t="s">
        <v>73</v>
      </c>
      <c r="J34" s="20"/>
      <c r="K34" s="21"/>
      <c r="L34" s="22">
        <v>45423.041666666599</v>
      </c>
      <c r="M34" s="22">
        <v>46153.041666666664</v>
      </c>
      <c r="N34" s="23">
        <f t="shared" ca="1" si="0"/>
        <v>13.041666666664241</v>
      </c>
      <c r="O34" s="20" t="s">
        <v>75</v>
      </c>
      <c r="P34" s="20" t="s">
        <v>76</v>
      </c>
      <c r="Q34" s="24">
        <v>100</v>
      </c>
      <c r="R34" s="24">
        <v>0</v>
      </c>
      <c r="S34" s="23">
        <f t="shared" si="1"/>
        <v>100</v>
      </c>
      <c r="T34" s="25">
        <f t="shared" si="2"/>
        <v>0</v>
      </c>
      <c r="U34" s="26"/>
      <c r="V34" s="20"/>
      <c r="W34" s="27" t="str">
        <f t="shared" si="5"/>
        <v/>
      </c>
      <c r="X34" s="22"/>
      <c r="Y34" s="23" t="str">
        <f t="shared" ca="1" si="3"/>
        <v/>
      </c>
      <c r="Z34" s="20"/>
      <c r="AA34" s="28" t="str">
        <f ca="1">IF($F34="","",IF($M34="","Missing expiry",IF($N34&lt;0,"Expired",IF($N34&lt;=Settings!$B$2,"Urgent",IF($N34&lt;=Settings!$B$3,"Review","Active")))))</f>
        <v>Urgent</v>
      </c>
      <c r="AB34" s="28" t="str">
        <f>IF($F34="","",IF($X34="","",IF($Y34&lt;0,"Past EOL",IF($Y34&lt;=Settings!$B$4,"EOL soon","Supported"))))</f>
        <v/>
      </c>
      <c r="AC34" s="28" t="str">
        <f t="shared" ca="1" si="4"/>
        <v>Yes</v>
      </c>
      <c r="AD34" s="20"/>
      <c r="AE34" s="22"/>
      <c r="AF34" s="21"/>
      <c r="AG34" s="21"/>
    </row>
    <row r="35" spans="1:33">
      <c r="A35" s="20" t="s">
        <v>116</v>
      </c>
      <c r="B35" s="20" t="s">
        <v>117</v>
      </c>
      <c r="C35" s="44" t="s">
        <v>26</v>
      </c>
      <c r="D35" s="44" t="s">
        <v>68</v>
      </c>
      <c r="E35" s="20" t="s">
        <v>121</v>
      </c>
      <c r="F35" s="21" t="s">
        <v>124</v>
      </c>
      <c r="G35" s="21"/>
      <c r="H35" s="20" t="s">
        <v>123</v>
      </c>
      <c r="I35" s="20" t="s">
        <v>73</v>
      </c>
      <c r="J35" s="20"/>
      <c r="K35" s="21"/>
      <c r="L35" s="22">
        <v>45423</v>
      </c>
      <c r="M35" s="22">
        <v>46153</v>
      </c>
      <c r="N35" s="23">
        <f t="shared" ca="1" si="0"/>
        <v>13</v>
      </c>
      <c r="O35" s="20" t="s">
        <v>75</v>
      </c>
      <c r="P35" s="20" t="s">
        <v>76</v>
      </c>
      <c r="Q35" s="24">
        <v>10</v>
      </c>
      <c r="R35" s="24">
        <v>0</v>
      </c>
      <c r="S35" s="23">
        <f t="shared" si="1"/>
        <v>10</v>
      </c>
      <c r="T35" s="25">
        <f t="shared" si="2"/>
        <v>0</v>
      </c>
      <c r="U35" s="26"/>
      <c r="V35" s="20"/>
      <c r="W35" s="27" t="str">
        <f t="shared" si="5"/>
        <v/>
      </c>
      <c r="X35" s="22"/>
      <c r="Y35" s="23" t="str">
        <f t="shared" ca="1" si="3"/>
        <v/>
      </c>
      <c r="Z35" s="20"/>
      <c r="AA35" s="28" t="str">
        <f ca="1">IF($F35="","",IF($M35="","Missing expiry",IF($N35&lt;0,"Expired",IF($N35&lt;=Settings!$B$2,"Urgent",IF($N35&lt;=Settings!$B$3,"Review","Active")))))</f>
        <v>Urgent</v>
      </c>
      <c r="AB35" s="28" t="str">
        <f>IF($F35="","",IF($X35="","",IF($Y35&lt;0,"Past EOL",IF($Y35&lt;=Settings!$B$4,"EOL soon","Supported"))))</f>
        <v/>
      </c>
      <c r="AC35" s="28" t="str">
        <f t="shared" ca="1" si="4"/>
        <v>Yes</v>
      </c>
      <c r="AD35" s="20"/>
      <c r="AE35" s="22"/>
      <c r="AF35" s="21"/>
      <c r="AG35" s="21"/>
    </row>
    <row r="36" spans="1:33">
      <c r="A36" s="20" t="s">
        <v>116</v>
      </c>
      <c r="B36" s="20" t="s">
        <v>117</v>
      </c>
      <c r="C36" s="44" t="s">
        <v>26</v>
      </c>
      <c r="D36" s="44" t="s">
        <v>68</v>
      </c>
      <c r="E36" s="20" t="s">
        <v>121</v>
      </c>
      <c r="F36" s="21" t="s">
        <v>125</v>
      </c>
      <c r="G36" s="21"/>
      <c r="H36" s="20" t="s">
        <v>123</v>
      </c>
      <c r="I36" s="20" t="s">
        <v>73</v>
      </c>
      <c r="J36" s="20"/>
      <c r="K36" s="21"/>
      <c r="L36" s="22">
        <v>45423</v>
      </c>
      <c r="M36" s="22">
        <v>46153</v>
      </c>
      <c r="N36" s="23">
        <f t="shared" ca="1" si="0"/>
        <v>13</v>
      </c>
      <c r="O36" s="20" t="s">
        <v>75</v>
      </c>
      <c r="P36" s="20" t="s">
        <v>76</v>
      </c>
      <c r="Q36" s="24">
        <v>90</v>
      </c>
      <c r="R36" s="24">
        <v>0</v>
      </c>
      <c r="S36" s="23">
        <f t="shared" si="1"/>
        <v>90</v>
      </c>
      <c r="T36" s="25">
        <f t="shared" si="2"/>
        <v>0</v>
      </c>
      <c r="U36" s="26"/>
      <c r="V36" s="20"/>
      <c r="W36" s="27" t="str">
        <f t="shared" si="5"/>
        <v/>
      </c>
      <c r="X36" s="22"/>
      <c r="Y36" s="23" t="str">
        <f t="shared" ca="1" si="3"/>
        <v/>
      </c>
      <c r="Z36" s="20"/>
      <c r="AA36" s="28" t="str">
        <f ca="1">IF($F36="","",IF($M36="","Missing expiry",IF($N36&lt;0,"Expired",IF($N36&lt;=Settings!$B$2,"Urgent",IF($N36&lt;=Settings!$B$3,"Review","Active")))))</f>
        <v>Urgent</v>
      </c>
      <c r="AB36" s="28" t="str">
        <f>IF($F36="","",IF($X36="","",IF($Y36&lt;0,"Past EOL",IF($Y36&lt;=Settings!$B$4,"EOL soon","Supported"))))</f>
        <v/>
      </c>
      <c r="AC36" s="28" t="str">
        <f t="shared" ca="1" si="4"/>
        <v>Yes</v>
      </c>
      <c r="AD36" s="20"/>
      <c r="AE36" s="22"/>
      <c r="AF36" s="21"/>
      <c r="AG36" s="21"/>
    </row>
    <row r="37" spans="1:33">
      <c r="A37" s="20" t="s">
        <v>116</v>
      </c>
      <c r="B37" s="20" t="s">
        <v>117</v>
      </c>
      <c r="C37" s="44" t="s">
        <v>26</v>
      </c>
      <c r="D37" s="44" t="s">
        <v>68</v>
      </c>
      <c r="E37" s="20" t="s">
        <v>121</v>
      </c>
      <c r="F37" s="21" t="s">
        <v>126</v>
      </c>
      <c r="G37" s="21"/>
      <c r="H37" s="20" t="s">
        <v>123</v>
      </c>
      <c r="I37" s="20" t="s">
        <v>73</v>
      </c>
      <c r="J37" s="20"/>
      <c r="K37" s="21"/>
      <c r="L37" s="22">
        <v>45423</v>
      </c>
      <c r="M37" s="22">
        <v>46153</v>
      </c>
      <c r="N37" s="23">
        <f t="shared" ca="1" si="0"/>
        <v>13</v>
      </c>
      <c r="O37" s="20" t="s">
        <v>75</v>
      </c>
      <c r="P37" s="20" t="s">
        <v>76</v>
      </c>
      <c r="Q37" s="24">
        <v>300</v>
      </c>
      <c r="R37" s="24">
        <v>0</v>
      </c>
      <c r="S37" s="23">
        <f t="shared" si="1"/>
        <v>300</v>
      </c>
      <c r="T37" s="25">
        <f t="shared" si="2"/>
        <v>0</v>
      </c>
      <c r="U37" s="26"/>
      <c r="V37" s="20"/>
      <c r="W37" s="27" t="str">
        <f t="shared" si="5"/>
        <v/>
      </c>
      <c r="X37" s="22"/>
      <c r="Y37" s="23" t="str">
        <f t="shared" ca="1" si="3"/>
        <v/>
      </c>
      <c r="Z37" s="20"/>
      <c r="AA37" s="28" t="str">
        <f ca="1">IF($F37="","",IF($M37="","Missing expiry",IF($N37&lt;0,"Expired",IF($N37&lt;=Settings!$B$2,"Urgent",IF($N37&lt;=Settings!$B$3,"Review","Active")))))</f>
        <v>Urgent</v>
      </c>
      <c r="AB37" s="28" t="str">
        <f>IF($F37="","",IF($X37="","",IF($Y37&lt;0,"Past EOL",IF($Y37&lt;=Settings!$B$4,"EOL soon","Supported"))))</f>
        <v/>
      </c>
      <c r="AC37" s="28" t="str">
        <f t="shared" ca="1" si="4"/>
        <v>Yes</v>
      </c>
      <c r="AD37" s="20"/>
      <c r="AE37" s="22"/>
      <c r="AF37" s="21"/>
      <c r="AG37" s="21"/>
    </row>
    <row r="38" spans="1:33">
      <c r="A38" s="20" t="s">
        <v>116</v>
      </c>
      <c r="B38" s="20" t="s">
        <v>117</v>
      </c>
      <c r="C38" s="44" t="s">
        <v>26</v>
      </c>
      <c r="D38" s="44" t="s">
        <v>68</v>
      </c>
      <c r="E38" s="20" t="s">
        <v>121</v>
      </c>
      <c r="F38" s="21" t="s">
        <v>127</v>
      </c>
      <c r="G38" s="21"/>
      <c r="H38" s="20" t="s">
        <v>123</v>
      </c>
      <c r="I38" s="20" t="s">
        <v>73</v>
      </c>
      <c r="J38" s="20"/>
      <c r="K38" s="21"/>
      <c r="L38" s="22">
        <v>45423</v>
      </c>
      <c r="M38" s="22">
        <v>46153</v>
      </c>
      <c r="N38" s="23">
        <f t="shared" ca="1" si="0"/>
        <v>13</v>
      </c>
      <c r="O38" s="20" t="s">
        <v>75</v>
      </c>
      <c r="P38" s="20" t="s">
        <v>76</v>
      </c>
      <c r="Q38" s="24">
        <v>10</v>
      </c>
      <c r="R38" s="24">
        <v>0</v>
      </c>
      <c r="S38" s="23">
        <f t="shared" si="1"/>
        <v>10</v>
      </c>
      <c r="T38" s="25">
        <f t="shared" si="2"/>
        <v>0</v>
      </c>
      <c r="U38" s="26"/>
      <c r="V38" s="20"/>
      <c r="W38" s="27" t="str">
        <f t="shared" si="5"/>
        <v/>
      </c>
      <c r="X38" s="22"/>
      <c r="Y38" s="23" t="str">
        <f t="shared" ca="1" si="3"/>
        <v/>
      </c>
      <c r="Z38" s="20"/>
      <c r="AA38" s="28" t="str">
        <f ca="1">IF($F38="","",IF($M38="","Missing expiry",IF($N38&lt;0,"Expired",IF($N38&lt;=Settings!$B$2,"Urgent",IF($N38&lt;=Settings!$B$3,"Review","Active")))))</f>
        <v>Urgent</v>
      </c>
      <c r="AB38" s="28" t="str">
        <f>IF($F38="","",IF($X38="","",IF($Y38&lt;0,"Past EOL",IF($Y38&lt;=Settings!$B$4,"EOL soon","Supported"))))</f>
        <v/>
      </c>
      <c r="AC38" s="28" t="str">
        <f t="shared" ca="1" si="4"/>
        <v>Yes</v>
      </c>
      <c r="AD38" s="20"/>
      <c r="AE38" s="22"/>
      <c r="AF38" s="21"/>
      <c r="AG38" s="21"/>
    </row>
    <row r="39" spans="1:33">
      <c r="A39" s="20" t="s">
        <v>116</v>
      </c>
      <c r="B39" s="20" t="s">
        <v>117</v>
      </c>
      <c r="C39" s="44" t="s">
        <v>26</v>
      </c>
      <c r="D39" s="44" t="s">
        <v>68</v>
      </c>
      <c r="E39" s="20" t="s">
        <v>121</v>
      </c>
      <c r="F39" s="21" t="s">
        <v>128</v>
      </c>
      <c r="G39" s="21"/>
      <c r="H39" s="20" t="s">
        <v>123</v>
      </c>
      <c r="I39" s="20" t="s">
        <v>73</v>
      </c>
      <c r="J39" s="20"/>
      <c r="K39" s="21"/>
      <c r="L39" s="22">
        <v>45423</v>
      </c>
      <c r="M39" s="22">
        <v>46153</v>
      </c>
      <c r="N39" s="23">
        <f t="shared" ca="1" si="0"/>
        <v>13</v>
      </c>
      <c r="O39" s="20" t="s">
        <v>75</v>
      </c>
      <c r="P39" s="20" t="s">
        <v>76</v>
      </c>
      <c r="Q39" s="24">
        <v>300</v>
      </c>
      <c r="R39" s="24">
        <v>0</v>
      </c>
      <c r="S39" s="23">
        <f t="shared" si="1"/>
        <v>300</v>
      </c>
      <c r="T39" s="25">
        <f t="shared" si="2"/>
        <v>0</v>
      </c>
      <c r="U39" s="26"/>
      <c r="V39" s="20"/>
      <c r="W39" s="27" t="str">
        <f t="shared" si="5"/>
        <v/>
      </c>
      <c r="X39" s="22"/>
      <c r="Y39" s="23" t="str">
        <f t="shared" ca="1" si="3"/>
        <v/>
      </c>
      <c r="Z39" s="20"/>
      <c r="AA39" s="28" t="str">
        <f ca="1">IF($F39="","",IF($M39="","Missing expiry",IF($N39&lt;0,"Expired",IF($N39&lt;=Settings!$B$2,"Urgent",IF($N39&lt;=Settings!$B$3,"Review","Active")))))</f>
        <v>Urgent</v>
      </c>
      <c r="AB39" s="28" t="str">
        <f>IF($F39="","",IF($X39="","",IF($Y39&lt;0,"Past EOL",IF($Y39&lt;=Settings!$B$4,"EOL soon","Supported"))))</f>
        <v/>
      </c>
      <c r="AC39" s="28" t="str">
        <f t="shared" ca="1" si="4"/>
        <v>Yes</v>
      </c>
      <c r="AD39" s="20"/>
      <c r="AE39" s="22"/>
      <c r="AF39" s="21"/>
      <c r="AG39" s="21"/>
    </row>
    <row r="40" spans="1:33" ht="25.5">
      <c r="A40" s="20" t="s">
        <v>116</v>
      </c>
      <c r="B40" s="20" t="s">
        <v>117</v>
      </c>
      <c r="C40" s="44" t="s">
        <v>28</v>
      </c>
      <c r="D40" s="44" t="s">
        <v>68</v>
      </c>
      <c r="E40" s="20" t="s">
        <v>129</v>
      </c>
      <c r="F40" s="21" t="s">
        <v>130</v>
      </c>
      <c r="G40" s="21"/>
      <c r="H40" s="20" t="s">
        <v>72</v>
      </c>
      <c r="I40" s="20" t="s">
        <v>73</v>
      </c>
      <c r="J40" s="20"/>
      <c r="K40" s="21"/>
      <c r="L40" s="22">
        <v>45768</v>
      </c>
      <c r="M40" s="22">
        <v>46863</v>
      </c>
      <c r="N40" s="23">
        <f t="shared" ca="1" si="0"/>
        <v>723</v>
      </c>
      <c r="O40" s="20" t="s">
        <v>75</v>
      </c>
      <c r="P40" s="20" t="s">
        <v>76</v>
      </c>
      <c r="Q40" s="24">
        <v>1</v>
      </c>
      <c r="R40" s="24">
        <v>1</v>
      </c>
      <c r="S40" s="23">
        <f t="shared" si="1"/>
        <v>0</v>
      </c>
      <c r="T40" s="25">
        <f t="shared" si="2"/>
        <v>1</v>
      </c>
      <c r="U40" s="26"/>
      <c r="V40" s="20"/>
      <c r="W40" s="27" t="str">
        <f t="shared" si="5"/>
        <v/>
      </c>
      <c r="X40" s="22"/>
      <c r="Y40" s="23" t="str">
        <f t="shared" ca="1" si="3"/>
        <v/>
      </c>
      <c r="Z40" s="20"/>
      <c r="AA40" s="28"/>
      <c r="AB40" s="28"/>
      <c r="AC40" s="28"/>
      <c r="AD40" s="20"/>
      <c r="AE40" s="22"/>
      <c r="AF40" s="21"/>
      <c r="AG40" s="21"/>
    </row>
    <row r="41" spans="1:33" ht="25.5">
      <c r="A41" s="20" t="s">
        <v>116</v>
      </c>
      <c r="B41" s="20" t="s">
        <v>117</v>
      </c>
      <c r="C41" s="44" t="s">
        <v>28</v>
      </c>
      <c r="D41" s="44" t="s">
        <v>68</v>
      </c>
      <c r="E41" s="20" t="s">
        <v>131</v>
      </c>
      <c r="F41" s="21" t="s">
        <v>132</v>
      </c>
      <c r="G41" s="21"/>
      <c r="H41" s="20" t="s">
        <v>72</v>
      </c>
      <c r="I41" s="20" t="s">
        <v>73</v>
      </c>
      <c r="J41" s="20"/>
      <c r="K41" s="21"/>
      <c r="L41" s="22">
        <v>45828</v>
      </c>
      <c r="M41" s="22">
        <v>46953</v>
      </c>
      <c r="N41" s="23">
        <f t="shared" ca="1" si="0"/>
        <v>813</v>
      </c>
      <c r="O41" s="20" t="s">
        <v>75</v>
      </c>
      <c r="P41" s="20" t="s">
        <v>76</v>
      </c>
      <c r="Q41" s="24">
        <v>150</v>
      </c>
      <c r="R41" s="24">
        <v>150</v>
      </c>
      <c r="S41" s="23">
        <f t="shared" si="1"/>
        <v>0</v>
      </c>
      <c r="T41" s="25">
        <f t="shared" si="2"/>
        <v>1</v>
      </c>
      <c r="U41" s="26"/>
      <c r="V41" s="20"/>
      <c r="W41" s="27" t="str">
        <f t="shared" si="5"/>
        <v/>
      </c>
      <c r="X41" s="22"/>
      <c r="Y41" s="23" t="str">
        <f t="shared" ca="1" si="3"/>
        <v/>
      </c>
      <c r="Z41" s="20"/>
      <c r="AA41" s="28" t="str">
        <f ca="1">IF($F41="","",IF($M41="","Missing expiry",IF($N41&lt;0,"Expired",IF($N41&lt;=Settings!$B$2,"Urgent",IF($N41&lt;=Settings!$B$3,"Review","Active")))))</f>
        <v>Active</v>
      </c>
      <c r="AB41" s="28" t="str">
        <f>IF($F41="","",IF($X41="","",IF($Y41&lt;0,"Past EOL",IF($Y41&lt;=Settings!$B$4,"EOL soon","Supported"))))</f>
        <v/>
      </c>
      <c r="AC41" s="28" t="str">
        <f t="shared" ca="1" si="4"/>
        <v>No</v>
      </c>
      <c r="AD41" s="20"/>
      <c r="AE41" s="22"/>
      <c r="AF41" s="21"/>
      <c r="AG41" s="21"/>
    </row>
    <row r="42" spans="1:33">
      <c r="A42" s="20" t="s">
        <v>116</v>
      </c>
      <c r="B42" s="20" t="s">
        <v>117</v>
      </c>
      <c r="C42" s="44" t="s">
        <v>27</v>
      </c>
      <c r="D42" s="44" t="s">
        <v>68</v>
      </c>
      <c r="E42" s="20" t="s">
        <v>133</v>
      </c>
      <c r="F42" s="21" t="s">
        <v>134</v>
      </c>
      <c r="G42" s="21"/>
      <c r="H42" s="20" t="s">
        <v>72</v>
      </c>
      <c r="I42" s="20" t="s">
        <v>73</v>
      </c>
      <c r="J42" s="20"/>
      <c r="K42" s="21"/>
      <c r="L42" s="22">
        <v>45374</v>
      </c>
      <c r="M42" s="22">
        <v>46469</v>
      </c>
      <c r="N42" s="23">
        <f t="shared" ca="1" si="0"/>
        <v>329</v>
      </c>
      <c r="O42" s="20" t="s">
        <v>75</v>
      </c>
      <c r="P42" s="20" t="s">
        <v>76</v>
      </c>
      <c r="Q42" s="24">
        <v>2</v>
      </c>
      <c r="R42" s="24">
        <v>2</v>
      </c>
      <c r="S42" s="23">
        <f t="shared" si="1"/>
        <v>0</v>
      </c>
      <c r="T42" s="25">
        <f t="shared" si="2"/>
        <v>1</v>
      </c>
      <c r="U42" s="26"/>
      <c r="V42" s="20"/>
      <c r="W42" s="27" t="str">
        <f t="shared" si="5"/>
        <v/>
      </c>
      <c r="X42" s="22"/>
      <c r="Y42" s="23" t="str">
        <f t="shared" ca="1" si="3"/>
        <v/>
      </c>
      <c r="Z42" s="20"/>
      <c r="AA42" s="28" t="str">
        <f ca="1">IF($F42="","",IF($M42="","Missing expiry",IF($N42&lt;0,"Expired",IF($N42&lt;=Settings!$B$2,"Urgent",IF($N42&lt;=Settings!$B$3,"Review","Active")))))</f>
        <v>Active</v>
      </c>
      <c r="AB42" s="28" t="str">
        <f>IF($F42="","",IF($X42="","",IF($Y42&lt;0,"Past EOL",IF($Y42&lt;=Settings!$B$4,"EOL soon","Supported"))))</f>
        <v/>
      </c>
      <c r="AC42" s="28" t="str">
        <f t="shared" ca="1" si="4"/>
        <v>No</v>
      </c>
      <c r="AD42" s="20"/>
      <c r="AE42" s="22"/>
      <c r="AF42" s="21"/>
      <c r="AG42" s="21"/>
    </row>
    <row r="43" spans="1:33" ht="25.5">
      <c r="A43" s="20" t="s">
        <v>116</v>
      </c>
      <c r="B43" s="20" t="s">
        <v>117</v>
      </c>
      <c r="C43" s="44" t="s">
        <v>27</v>
      </c>
      <c r="D43" s="44" t="s">
        <v>68</v>
      </c>
      <c r="E43" s="20" t="s">
        <v>133</v>
      </c>
      <c r="F43" s="21" t="s">
        <v>135</v>
      </c>
      <c r="G43" s="21"/>
      <c r="H43" s="20" t="s">
        <v>72</v>
      </c>
      <c r="I43" s="20" t="s">
        <v>73</v>
      </c>
      <c r="J43" s="20"/>
      <c r="K43" s="21"/>
      <c r="L43" s="22">
        <v>45374</v>
      </c>
      <c r="M43" s="22">
        <v>46469</v>
      </c>
      <c r="N43" s="23">
        <f t="shared" ca="1" si="0"/>
        <v>329</v>
      </c>
      <c r="O43" s="20" t="s">
        <v>75</v>
      </c>
      <c r="P43" s="20" t="s">
        <v>76</v>
      </c>
      <c r="Q43" s="24">
        <v>1</v>
      </c>
      <c r="R43" s="24">
        <v>1</v>
      </c>
      <c r="S43" s="23">
        <f t="shared" si="1"/>
        <v>0</v>
      </c>
      <c r="T43" s="25">
        <f t="shared" si="2"/>
        <v>1</v>
      </c>
      <c r="U43" s="26"/>
      <c r="V43" s="20"/>
      <c r="W43" s="27" t="str">
        <f t="shared" si="5"/>
        <v/>
      </c>
      <c r="X43" s="22"/>
      <c r="Y43" s="23" t="str">
        <f t="shared" ca="1" si="3"/>
        <v/>
      </c>
      <c r="Z43" s="20"/>
      <c r="AA43" s="28" t="str">
        <f ca="1">IF($F43="","",IF($M43="","Missing expiry",IF($N43&lt;0,"Expired",IF($N43&lt;=Settings!$B$2,"Urgent",IF($N43&lt;=Settings!$B$3,"Review","Active")))))</f>
        <v>Active</v>
      </c>
      <c r="AB43" s="28" t="str">
        <f>IF($F43="","",IF($X43="","",IF($Y43&lt;0,"Past EOL",IF($Y43&lt;=Settings!$B$4,"EOL soon","Supported"))))</f>
        <v/>
      </c>
      <c r="AC43" s="28" t="str">
        <f t="shared" ca="1" si="4"/>
        <v>No</v>
      </c>
      <c r="AD43" s="20"/>
      <c r="AE43" s="22"/>
      <c r="AF43" s="21"/>
      <c r="AG43" s="21"/>
    </row>
    <row r="44" spans="1:33">
      <c r="A44" s="20" t="s">
        <v>116</v>
      </c>
      <c r="B44" s="20" t="s">
        <v>117</v>
      </c>
      <c r="C44" s="44" t="s">
        <v>31</v>
      </c>
      <c r="D44" s="44" t="s">
        <v>68</v>
      </c>
      <c r="E44" s="20" t="s">
        <v>133</v>
      </c>
      <c r="F44" s="21" t="s">
        <v>136</v>
      </c>
      <c r="G44" s="21"/>
      <c r="H44" s="20" t="s">
        <v>72</v>
      </c>
      <c r="I44" s="20" t="s">
        <v>73</v>
      </c>
      <c r="J44" s="20"/>
      <c r="K44" s="21"/>
      <c r="L44" s="22">
        <v>45374</v>
      </c>
      <c r="M44" s="22">
        <v>46469</v>
      </c>
      <c r="N44" s="23">
        <f t="shared" ca="1" si="0"/>
        <v>329</v>
      </c>
      <c r="O44" s="20" t="s">
        <v>75</v>
      </c>
      <c r="P44" s="20" t="s">
        <v>76</v>
      </c>
      <c r="Q44" s="24">
        <v>3300</v>
      </c>
      <c r="R44" s="24">
        <v>300</v>
      </c>
      <c r="S44" s="23">
        <f t="shared" si="1"/>
        <v>3000</v>
      </c>
      <c r="T44" s="25">
        <f t="shared" si="2"/>
        <v>9.0909090909090912E-2</v>
      </c>
      <c r="U44" s="26"/>
      <c r="V44" s="20"/>
      <c r="W44" s="27" t="str">
        <f t="shared" si="5"/>
        <v/>
      </c>
      <c r="X44" s="22"/>
      <c r="Y44" s="23" t="str">
        <f t="shared" ca="1" si="3"/>
        <v/>
      </c>
      <c r="Z44" s="20"/>
      <c r="AA44" s="28"/>
      <c r="AB44" s="28"/>
      <c r="AC44" s="28"/>
      <c r="AD44" s="20"/>
      <c r="AE44" s="22"/>
      <c r="AF44" s="21"/>
      <c r="AG44" s="21"/>
    </row>
    <row r="45" spans="1:33">
      <c r="A45" s="20" t="s">
        <v>116</v>
      </c>
      <c r="B45" s="20" t="s">
        <v>117</v>
      </c>
      <c r="C45" s="44" t="s">
        <v>27</v>
      </c>
      <c r="D45" s="44" t="s">
        <v>68</v>
      </c>
      <c r="E45" s="20" t="s">
        <v>133</v>
      </c>
      <c r="F45" s="21" t="s">
        <v>137</v>
      </c>
      <c r="G45" s="21"/>
      <c r="H45" s="20" t="s">
        <v>72</v>
      </c>
      <c r="I45" s="20" t="s">
        <v>73</v>
      </c>
      <c r="J45" s="20"/>
      <c r="K45" s="21"/>
      <c r="L45" s="22">
        <v>45374</v>
      </c>
      <c r="M45" s="22">
        <v>46469</v>
      </c>
      <c r="N45" s="23">
        <f t="shared" ca="1" si="0"/>
        <v>329</v>
      </c>
      <c r="O45" s="20" t="s">
        <v>75</v>
      </c>
      <c r="P45" s="20" t="s">
        <v>76</v>
      </c>
      <c r="Q45" s="24">
        <v>3300</v>
      </c>
      <c r="R45" s="24">
        <v>300</v>
      </c>
      <c r="S45" s="23">
        <f t="shared" si="1"/>
        <v>3000</v>
      </c>
      <c r="T45" s="25">
        <f t="shared" si="2"/>
        <v>9.0909090909090912E-2</v>
      </c>
      <c r="U45" s="26"/>
      <c r="V45" s="20"/>
      <c r="W45" s="27" t="str">
        <f t="shared" si="5"/>
        <v/>
      </c>
      <c r="X45" s="22"/>
      <c r="Y45" s="23" t="str">
        <f t="shared" ca="1" si="3"/>
        <v/>
      </c>
      <c r="Z45" s="20"/>
      <c r="AA45" s="28" t="str">
        <f ca="1">IF($F45="","",IF($M45="","Missing expiry",IF($N45&lt;0,"Expired",IF($N45&lt;=Settings!$B$2,"Urgent",IF($N45&lt;=Settings!$B$3,"Review","Active")))))</f>
        <v>Active</v>
      </c>
      <c r="AB45" s="28" t="str">
        <f>IF($F45="","",IF($X45="","",IF($Y45&lt;0,"Past EOL",IF($Y45&lt;=Settings!$B$4,"EOL soon","Supported"))))</f>
        <v/>
      </c>
      <c r="AC45" s="28" t="str">
        <f t="shared" ca="1" si="4"/>
        <v>No</v>
      </c>
      <c r="AD45" s="20"/>
      <c r="AE45" s="22"/>
      <c r="AF45" s="21"/>
      <c r="AG45" s="21"/>
    </row>
    <row r="46" spans="1:33" ht="27">
      <c r="A46" s="20" t="s">
        <v>116</v>
      </c>
      <c r="B46" s="20" t="s">
        <v>117</v>
      </c>
      <c r="C46" s="44" t="s">
        <v>27</v>
      </c>
      <c r="D46" s="44" t="s">
        <v>68</v>
      </c>
      <c r="E46" s="20" t="s">
        <v>133</v>
      </c>
      <c r="F46" s="21" t="s">
        <v>138</v>
      </c>
      <c r="G46" s="21"/>
      <c r="H46" s="20" t="s">
        <v>72</v>
      </c>
      <c r="I46" s="20" t="s">
        <v>73</v>
      </c>
      <c r="J46" s="20"/>
      <c r="K46" s="21"/>
      <c r="L46" s="22">
        <v>45282</v>
      </c>
      <c r="M46" s="22">
        <v>46743</v>
      </c>
      <c r="N46" s="23">
        <f t="shared" ca="1" si="0"/>
        <v>603</v>
      </c>
      <c r="O46" s="20" t="s">
        <v>75</v>
      </c>
      <c r="P46" s="20" t="s">
        <v>76</v>
      </c>
      <c r="Q46" s="24">
        <v>3500</v>
      </c>
      <c r="R46" s="24">
        <v>600</v>
      </c>
      <c r="S46" s="23">
        <f t="shared" si="1"/>
        <v>2900</v>
      </c>
      <c r="T46" s="25">
        <f t="shared" si="2"/>
        <v>0.17142857142857143</v>
      </c>
      <c r="U46" s="26"/>
      <c r="V46" s="20"/>
      <c r="W46" s="27" t="str">
        <f t="shared" si="5"/>
        <v/>
      </c>
      <c r="X46" s="22"/>
      <c r="Y46" s="23" t="str">
        <f t="shared" ca="1" si="3"/>
        <v/>
      </c>
      <c r="Z46" s="20"/>
      <c r="AA46" s="28" t="str">
        <f ca="1">IF($F46="","",IF($M46="","Missing expiry",IF($N46&lt;0,"Expired",IF($N46&lt;=Settings!$B$2,"Urgent",IF($N46&lt;=Settings!$B$3,"Review","Active")))))</f>
        <v>Active</v>
      </c>
      <c r="AB46" s="28" t="str">
        <f>IF($F46="","",IF($X46="","",IF($Y46&lt;0,"Past EOL",IF($Y46&lt;=Settings!$B$4,"EOL soon","Supported"))))</f>
        <v/>
      </c>
      <c r="AC46" s="28" t="str">
        <f t="shared" ca="1" si="4"/>
        <v>No</v>
      </c>
      <c r="AD46" s="20"/>
      <c r="AE46" s="22"/>
      <c r="AF46" s="21"/>
      <c r="AG46" s="21"/>
    </row>
    <row r="47" spans="1:33">
      <c r="A47" s="20" t="s">
        <v>116</v>
      </c>
      <c r="B47" s="20" t="s">
        <v>117</v>
      </c>
      <c r="C47" s="44" t="s">
        <v>31</v>
      </c>
      <c r="D47" s="44" t="s">
        <v>68</v>
      </c>
      <c r="E47" s="20" t="s">
        <v>133</v>
      </c>
      <c r="F47" s="21" t="s">
        <v>139</v>
      </c>
      <c r="G47" s="21"/>
      <c r="H47" s="20" t="s">
        <v>72</v>
      </c>
      <c r="I47" s="20" t="s">
        <v>73</v>
      </c>
      <c r="J47" s="20"/>
      <c r="K47" s="21"/>
      <c r="L47" s="22">
        <v>45282</v>
      </c>
      <c r="M47" s="22">
        <v>46743</v>
      </c>
      <c r="N47" s="23">
        <f t="shared" ca="1" si="0"/>
        <v>603</v>
      </c>
      <c r="O47" s="20" t="s">
        <v>75</v>
      </c>
      <c r="P47" s="20" t="s">
        <v>76</v>
      </c>
      <c r="Q47" s="24">
        <v>1</v>
      </c>
      <c r="R47" s="24">
        <v>1</v>
      </c>
      <c r="S47" s="23">
        <f t="shared" si="1"/>
        <v>0</v>
      </c>
      <c r="T47" s="25">
        <f t="shared" si="2"/>
        <v>1</v>
      </c>
      <c r="U47" s="26"/>
      <c r="V47" s="20"/>
      <c r="W47" s="27" t="str">
        <f t="shared" si="5"/>
        <v/>
      </c>
      <c r="X47" s="22"/>
      <c r="Y47" s="23" t="str">
        <f t="shared" ca="1" si="3"/>
        <v/>
      </c>
      <c r="Z47" s="20"/>
      <c r="AA47" s="28"/>
      <c r="AB47" s="28"/>
      <c r="AC47" s="28"/>
      <c r="AD47" s="20"/>
      <c r="AE47" s="22"/>
      <c r="AF47" s="21"/>
      <c r="AG47" s="21"/>
    </row>
    <row r="48" spans="1:33" ht="25.5">
      <c r="A48" s="20" t="s">
        <v>116</v>
      </c>
      <c r="B48" s="20" t="s">
        <v>117</v>
      </c>
      <c r="C48" s="44" t="s">
        <v>24</v>
      </c>
      <c r="D48" s="44" t="s">
        <v>68</v>
      </c>
      <c r="E48" s="20" t="s">
        <v>140</v>
      </c>
      <c r="F48" s="21" t="s">
        <v>141</v>
      </c>
      <c r="G48" s="21"/>
      <c r="H48" s="20" t="s">
        <v>72</v>
      </c>
      <c r="I48" s="20" t="s">
        <v>73</v>
      </c>
      <c r="J48" s="20"/>
      <c r="K48" s="21"/>
      <c r="L48" s="22">
        <v>45307</v>
      </c>
      <c r="M48" s="22">
        <v>46403</v>
      </c>
      <c r="N48" s="23">
        <f t="shared" ca="1" si="0"/>
        <v>263</v>
      </c>
      <c r="O48" s="20" t="s">
        <v>75</v>
      </c>
      <c r="P48" s="20" t="s">
        <v>76</v>
      </c>
      <c r="Q48" s="24">
        <v>3300</v>
      </c>
      <c r="R48" s="24">
        <v>2900</v>
      </c>
      <c r="S48" s="23">
        <f t="shared" si="1"/>
        <v>400</v>
      </c>
      <c r="T48" s="25">
        <f t="shared" si="2"/>
        <v>0.87878787878787878</v>
      </c>
      <c r="U48" s="26"/>
      <c r="V48" s="20"/>
      <c r="W48" s="27" t="str">
        <f t="shared" si="5"/>
        <v/>
      </c>
      <c r="X48" s="22"/>
      <c r="Y48" s="23" t="str">
        <f t="shared" ca="1" si="3"/>
        <v/>
      </c>
      <c r="Z48" s="20"/>
      <c r="AA48" s="28" t="str">
        <f ca="1">IF($F48="","",IF($M48="","Missing expiry",IF($N48&lt;0,"Expired",IF($N48&lt;=Settings!$B$2,"Urgent",IF($N48&lt;=Settings!$B$3,"Review","Active")))))</f>
        <v>Active</v>
      </c>
      <c r="AB48" s="28" t="str">
        <f>IF($F48="","",IF($X48="","",IF($Y48&lt;0,"Past EOL",IF($Y48&lt;=Settings!$B$4,"EOL soon","Supported"))))</f>
        <v/>
      </c>
      <c r="AC48" s="28" t="str">
        <f t="shared" ca="1" si="4"/>
        <v>No</v>
      </c>
      <c r="AD48" s="20"/>
      <c r="AE48" s="22"/>
      <c r="AF48" s="21"/>
      <c r="AG48" s="21"/>
    </row>
    <row r="49" spans="1:33">
      <c r="A49" s="20" t="s">
        <v>116</v>
      </c>
      <c r="B49" s="20" t="s">
        <v>117</v>
      </c>
      <c r="C49" s="44" t="s">
        <v>24</v>
      </c>
      <c r="D49" s="44" t="s">
        <v>68</v>
      </c>
      <c r="E49" s="20" t="s">
        <v>140</v>
      </c>
      <c r="F49" s="21" t="s">
        <v>142</v>
      </c>
      <c r="G49" s="21"/>
      <c r="H49" s="20" t="s">
        <v>72</v>
      </c>
      <c r="I49" s="20" t="s">
        <v>73</v>
      </c>
      <c r="J49" s="20"/>
      <c r="K49" s="21"/>
      <c r="L49" s="22">
        <v>45307</v>
      </c>
      <c r="M49" s="22">
        <v>46403</v>
      </c>
      <c r="N49" s="23">
        <f t="shared" ca="1" si="0"/>
        <v>263</v>
      </c>
      <c r="O49" s="20" t="s">
        <v>75</v>
      </c>
      <c r="P49" s="20" t="s">
        <v>76</v>
      </c>
      <c r="Q49" s="24">
        <v>500</v>
      </c>
      <c r="R49" s="24">
        <v>0</v>
      </c>
      <c r="S49" s="23">
        <f t="shared" si="1"/>
        <v>500</v>
      </c>
      <c r="T49" s="25">
        <f t="shared" si="2"/>
        <v>0</v>
      </c>
      <c r="U49" s="26"/>
      <c r="V49" s="20"/>
      <c r="W49" s="27" t="str">
        <f t="shared" si="5"/>
        <v/>
      </c>
      <c r="X49" s="22"/>
      <c r="Y49" s="23" t="str">
        <f t="shared" ca="1" si="3"/>
        <v/>
      </c>
      <c r="Z49" s="20"/>
      <c r="AA49" s="28" t="str">
        <f ca="1">IF($F49="","",IF($M49="","Missing expiry",IF($N49&lt;0,"Expired",IF($N49&lt;=Settings!$B$2,"Urgent",IF($N49&lt;=Settings!$B$3,"Review","Active")))))</f>
        <v>Active</v>
      </c>
      <c r="AB49" s="28" t="str">
        <f>IF($F49="","",IF($X49="","",IF($Y49&lt;0,"Past EOL",IF($Y49&lt;=Settings!$B$4,"EOL soon","Supported"))))</f>
        <v/>
      </c>
      <c r="AC49" s="28" t="str">
        <f t="shared" ca="1" si="4"/>
        <v>No</v>
      </c>
      <c r="AD49" s="20"/>
      <c r="AE49" s="22"/>
      <c r="AF49" s="21"/>
      <c r="AG49" s="21"/>
    </row>
    <row r="50" spans="1:33">
      <c r="A50" s="20" t="s">
        <v>116</v>
      </c>
      <c r="B50" s="20" t="s">
        <v>117</v>
      </c>
      <c r="C50" s="44" t="s">
        <v>24</v>
      </c>
      <c r="D50" s="44" t="s">
        <v>68</v>
      </c>
      <c r="E50" s="20" t="s">
        <v>140</v>
      </c>
      <c r="F50" s="21" t="s">
        <v>143</v>
      </c>
      <c r="G50" s="21"/>
      <c r="H50" s="20" t="s">
        <v>72</v>
      </c>
      <c r="I50" s="20" t="s">
        <v>73</v>
      </c>
      <c r="J50" s="20"/>
      <c r="K50" s="21"/>
      <c r="L50" s="22">
        <v>45307</v>
      </c>
      <c r="M50" s="22">
        <v>46403</v>
      </c>
      <c r="N50" s="23">
        <f t="shared" ca="1" si="0"/>
        <v>263</v>
      </c>
      <c r="O50" s="20" t="s">
        <v>75</v>
      </c>
      <c r="P50" s="20" t="s">
        <v>76</v>
      </c>
      <c r="Q50" s="24">
        <v>100</v>
      </c>
      <c r="R50" s="24">
        <v>0</v>
      </c>
      <c r="S50" s="23">
        <f t="shared" si="1"/>
        <v>100</v>
      </c>
      <c r="T50" s="25">
        <f t="shared" si="2"/>
        <v>0</v>
      </c>
      <c r="U50" s="26"/>
      <c r="V50" s="20"/>
      <c r="W50" s="27" t="str">
        <f t="shared" si="5"/>
        <v/>
      </c>
      <c r="X50" s="22"/>
      <c r="Y50" s="23" t="str">
        <f t="shared" ca="1" si="3"/>
        <v/>
      </c>
      <c r="Z50" s="20"/>
      <c r="AA50" s="28" t="str">
        <f ca="1">IF($F50="","",IF($M50="","Missing expiry",IF($N50&lt;0,"Expired",IF($N50&lt;=Settings!$B$2,"Urgent",IF($N50&lt;=Settings!$B$3,"Review","Active")))))</f>
        <v>Active</v>
      </c>
      <c r="AB50" s="28" t="str">
        <f>IF($F50="","",IF($X50="","",IF($Y50&lt;0,"Past EOL",IF($Y50&lt;=Settings!$B$4,"EOL soon","Supported"))))</f>
        <v/>
      </c>
      <c r="AC50" s="28" t="str">
        <f t="shared" ca="1" si="4"/>
        <v>No</v>
      </c>
      <c r="AD50" s="20"/>
      <c r="AE50" s="22"/>
      <c r="AF50" s="21"/>
      <c r="AG50" s="21"/>
    </row>
    <row r="51" spans="1:33" ht="25.5">
      <c r="A51" s="20" t="s">
        <v>116</v>
      </c>
      <c r="B51" s="20" t="s">
        <v>117</v>
      </c>
      <c r="C51" s="44" t="s">
        <v>24</v>
      </c>
      <c r="D51" s="44" t="s">
        <v>68</v>
      </c>
      <c r="E51" s="20" t="s">
        <v>144</v>
      </c>
      <c r="F51" s="21" t="s">
        <v>145</v>
      </c>
      <c r="G51" s="21"/>
      <c r="H51" s="20" t="s">
        <v>72</v>
      </c>
      <c r="I51" s="20" t="s">
        <v>73</v>
      </c>
      <c r="J51" s="20"/>
      <c r="K51" s="21"/>
      <c r="L51" s="22">
        <v>45107</v>
      </c>
      <c r="M51" s="22">
        <v>46202</v>
      </c>
      <c r="N51" s="23">
        <f t="shared" ca="1" si="0"/>
        <v>62</v>
      </c>
      <c r="O51" s="20" t="s">
        <v>75</v>
      </c>
      <c r="P51" s="20" t="s">
        <v>76</v>
      </c>
      <c r="Q51" s="24">
        <v>60</v>
      </c>
      <c r="R51" s="24">
        <v>60</v>
      </c>
      <c r="S51" s="23">
        <f t="shared" si="1"/>
        <v>0</v>
      </c>
      <c r="T51" s="25">
        <f t="shared" si="2"/>
        <v>1</v>
      </c>
      <c r="U51" s="26"/>
      <c r="V51" s="20"/>
      <c r="W51" s="27" t="str">
        <f t="shared" si="5"/>
        <v/>
      </c>
      <c r="X51" s="22"/>
      <c r="Y51" s="23" t="str">
        <f t="shared" ca="1" si="3"/>
        <v/>
      </c>
      <c r="Z51" s="20"/>
      <c r="AA51" s="28" t="str">
        <f ca="1">IF($F51="","",IF($M51="","Missing expiry",IF($N51&lt;0,"Expired",IF($N51&lt;=Settings!$B$2,"Urgent",IF($N51&lt;=Settings!$B$3,"Review","Active")))))</f>
        <v>Active</v>
      </c>
      <c r="AB51" s="28" t="str">
        <f>IF($F51="","",IF($X51="","",IF($Y51&lt;0,"Past EOL",IF($Y51&lt;=Settings!$B$4,"EOL soon","Supported"))))</f>
        <v/>
      </c>
      <c r="AC51" s="28" t="str">
        <f t="shared" ca="1" si="4"/>
        <v>No</v>
      </c>
      <c r="AD51" s="20"/>
      <c r="AE51" s="22"/>
      <c r="AF51" s="21"/>
      <c r="AG51" s="21"/>
    </row>
    <row r="52" spans="1:33">
      <c r="A52" s="20" t="s">
        <v>100</v>
      </c>
      <c r="B52" s="20" t="s">
        <v>146</v>
      </c>
      <c r="C52" s="44"/>
      <c r="D52" s="44"/>
      <c r="E52" s="20"/>
      <c r="F52" s="21"/>
      <c r="G52" s="21"/>
      <c r="H52" s="20"/>
      <c r="I52" s="20"/>
      <c r="J52" s="20"/>
      <c r="K52" s="21"/>
      <c r="L52" s="22"/>
      <c r="M52" s="22"/>
      <c r="N52" s="23" t="str">
        <f t="shared" ca="1" si="0"/>
        <v/>
      </c>
      <c r="O52" s="20"/>
      <c r="P52" s="20"/>
      <c r="Q52" s="24"/>
      <c r="R52" s="24"/>
      <c r="S52" s="23" t="str">
        <f t="shared" si="1"/>
        <v/>
      </c>
      <c r="T52" s="25" t="str">
        <f t="shared" si="2"/>
        <v/>
      </c>
      <c r="U52" s="26"/>
      <c r="V52" s="20"/>
      <c r="W52" s="27" t="str">
        <f t="shared" si="5"/>
        <v/>
      </c>
      <c r="X52" s="22"/>
      <c r="Y52" s="23" t="str">
        <f t="shared" ca="1" si="3"/>
        <v/>
      </c>
      <c r="Z52" s="20"/>
      <c r="AA52" s="28" t="str">
        <f>IF($F52="","",IF($M52="","Missing expiry",IF($N52&lt;0,"Expired",IF($N52&lt;=Settings!$B$2,"Urgent",IF($N52&lt;=Settings!$B$3,"Review","Active")))))</f>
        <v/>
      </c>
      <c r="AB52" s="28" t="str">
        <f>IF($F52="","",IF($X52="","",IF($Y52&lt;0,"Past EOL",IF($Y52&lt;=Settings!$B$4,"EOL soon","Supported"))))</f>
        <v/>
      </c>
      <c r="AC52" s="28" t="str">
        <f t="shared" si="4"/>
        <v/>
      </c>
      <c r="AD52" s="20"/>
      <c r="AE52" s="22"/>
      <c r="AF52" s="21"/>
      <c r="AG52" s="21"/>
    </row>
    <row r="53" spans="1:33">
      <c r="A53" s="20" t="s">
        <v>100</v>
      </c>
      <c r="B53" s="20" t="s">
        <v>146</v>
      </c>
      <c r="C53" s="44"/>
      <c r="D53" s="44"/>
      <c r="E53" s="20"/>
      <c r="F53" s="21"/>
      <c r="G53" s="21"/>
      <c r="H53" s="20"/>
      <c r="I53" s="20"/>
      <c r="J53" s="20"/>
      <c r="K53" s="21"/>
      <c r="L53" s="22"/>
      <c r="M53" s="22"/>
      <c r="N53" s="23" t="str">
        <f t="shared" ca="1" si="0"/>
        <v/>
      </c>
      <c r="O53" s="20"/>
      <c r="P53" s="20"/>
      <c r="Q53" s="24"/>
      <c r="R53" s="24"/>
      <c r="S53" s="23" t="str">
        <f t="shared" si="1"/>
        <v/>
      </c>
      <c r="T53" s="25" t="str">
        <f t="shared" si="2"/>
        <v/>
      </c>
      <c r="U53" s="26"/>
      <c r="V53" s="20"/>
      <c r="W53" s="27" t="str">
        <f t="shared" si="5"/>
        <v/>
      </c>
      <c r="X53" s="22"/>
      <c r="Y53" s="23" t="str">
        <f t="shared" ca="1" si="3"/>
        <v/>
      </c>
      <c r="Z53" s="20"/>
      <c r="AA53" s="28" t="str">
        <f>IF($F53="","",IF($M53="","Missing expiry",IF($N53&lt;0,"Expired",IF($N53&lt;=Settings!$B$2,"Urgent",IF($N53&lt;=Settings!$B$3,"Review","Active")))))</f>
        <v/>
      </c>
      <c r="AB53" s="28" t="str">
        <f>IF($F53="","",IF($X53="","",IF($Y53&lt;0,"Past EOL",IF($Y53&lt;=Settings!$B$4,"EOL soon","Supported"))))</f>
        <v/>
      </c>
      <c r="AC53" s="28" t="str">
        <f t="shared" si="4"/>
        <v/>
      </c>
      <c r="AD53" s="20"/>
      <c r="AE53" s="22"/>
      <c r="AF53" s="21"/>
      <c r="AG53" s="21"/>
    </row>
    <row r="54" spans="1:33">
      <c r="A54" s="20" t="s">
        <v>100</v>
      </c>
      <c r="B54" s="20" t="s">
        <v>146</v>
      </c>
      <c r="C54" s="44"/>
      <c r="D54" s="44"/>
      <c r="E54" s="20"/>
      <c r="F54" s="21"/>
      <c r="G54" s="21"/>
      <c r="H54" s="20"/>
      <c r="I54" s="20"/>
      <c r="J54" s="20"/>
      <c r="K54" s="21"/>
      <c r="L54" s="22"/>
      <c r="M54" s="22"/>
      <c r="N54" s="23" t="str">
        <f t="shared" ca="1" si="0"/>
        <v/>
      </c>
      <c r="O54" s="20"/>
      <c r="P54" s="20"/>
      <c r="Q54" s="24"/>
      <c r="R54" s="24"/>
      <c r="S54" s="23" t="str">
        <f t="shared" si="1"/>
        <v/>
      </c>
      <c r="T54" s="25" t="str">
        <f t="shared" si="2"/>
        <v/>
      </c>
      <c r="U54" s="26"/>
      <c r="V54" s="20"/>
      <c r="W54" s="27" t="str">
        <f t="shared" si="5"/>
        <v/>
      </c>
      <c r="X54" s="22"/>
      <c r="Y54" s="23" t="str">
        <f t="shared" ca="1" si="3"/>
        <v/>
      </c>
      <c r="Z54" s="20"/>
      <c r="AA54" s="28" t="str">
        <f>IF($F54="","",IF($M54="","Missing expiry",IF($N54&lt;0,"Expired",IF($N54&lt;=Settings!$B$2,"Urgent",IF($N54&lt;=Settings!$B$3,"Review","Active")))))</f>
        <v/>
      </c>
      <c r="AB54" s="28" t="str">
        <f>IF($F54="","",IF($X54="","",IF($Y54&lt;0,"Past EOL",IF($Y54&lt;=Settings!$B$4,"EOL soon","Supported"))))</f>
        <v/>
      </c>
      <c r="AC54" s="28" t="str">
        <f t="shared" si="4"/>
        <v/>
      </c>
      <c r="AD54" s="20"/>
      <c r="AE54" s="22"/>
      <c r="AF54" s="21"/>
      <c r="AG54" s="21"/>
    </row>
    <row r="55" spans="1:33">
      <c r="A55" s="20"/>
      <c r="B55" s="20"/>
      <c r="C55" s="44"/>
      <c r="D55" s="44"/>
      <c r="E55" s="20"/>
      <c r="F55" s="21"/>
      <c r="G55" s="21"/>
      <c r="H55" s="20"/>
      <c r="I55" s="20"/>
      <c r="J55" s="20"/>
      <c r="K55" s="21"/>
      <c r="L55" s="22"/>
      <c r="M55" s="22"/>
      <c r="N55" s="23" t="str">
        <f t="shared" ca="1" si="0"/>
        <v/>
      </c>
      <c r="O55" s="20"/>
      <c r="P55" s="20"/>
      <c r="Q55" s="24"/>
      <c r="R55" s="24"/>
      <c r="S55" s="23" t="str">
        <f t="shared" si="1"/>
        <v/>
      </c>
      <c r="T55" s="25" t="str">
        <f t="shared" si="2"/>
        <v/>
      </c>
      <c r="U55" s="26"/>
      <c r="V55" s="20"/>
      <c r="W55" s="27" t="str">
        <f t="shared" si="5"/>
        <v/>
      </c>
      <c r="X55" s="22"/>
      <c r="Y55" s="23" t="str">
        <f t="shared" ca="1" si="3"/>
        <v/>
      </c>
      <c r="Z55" s="20"/>
      <c r="AA55" s="28" t="str">
        <f>IF($F55="","",IF($M55="","Missing expiry",IF($N55&lt;0,"Expired",IF($N55&lt;=Settings!$B$2,"Urgent",IF($N55&lt;=Settings!$B$3,"Review","Active")))))</f>
        <v/>
      </c>
      <c r="AB55" s="28" t="str">
        <f>IF($F55="","",IF($X55="","",IF($Y55&lt;0,"Past EOL",IF($Y55&lt;=Settings!$B$4,"EOL soon","Supported"))))</f>
        <v/>
      </c>
      <c r="AC55" s="28" t="str">
        <f t="shared" si="4"/>
        <v/>
      </c>
      <c r="AD55" s="20"/>
      <c r="AE55" s="22"/>
      <c r="AF55" s="21"/>
      <c r="AG55" s="21"/>
    </row>
    <row r="56" spans="1:33">
      <c r="A56" s="20"/>
      <c r="B56" s="20"/>
      <c r="C56" s="44"/>
      <c r="D56" s="44"/>
      <c r="E56" s="20"/>
      <c r="F56" s="21"/>
      <c r="G56" s="21"/>
      <c r="H56" s="20"/>
      <c r="I56" s="20"/>
      <c r="J56" s="20"/>
      <c r="K56" s="21"/>
      <c r="L56" s="22"/>
      <c r="M56" s="22"/>
      <c r="N56" s="23" t="str">
        <f t="shared" ca="1" si="0"/>
        <v/>
      </c>
      <c r="O56" s="20"/>
      <c r="P56" s="20"/>
      <c r="Q56" s="24"/>
      <c r="R56" s="24"/>
      <c r="S56" s="23" t="str">
        <f t="shared" si="1"/>
        <v/>
      </c>
      <c r="T56" s="25" t="str">
        <f t="shared" si="2"/>
        <v/>
      </c>
      <c r="U56" s="26"/>
      <c r="V56" s="20"/>
      <c r="W56" s="27" t="str">
        <f t="shared" si="5"/>
        <v/>
      </c>
      <c r="X56" s="22"/>
      <c r="Y56" s="23" t="str">
        <f t="shared" ca="1" si="3"/>
        <v/>
      </c>
      <c r="Z56" s="20"/>
      <c r="AA56" s="28" t="str">
        <f>IF($F56="","",IF($M56="","Missing expiry",IF($N56&lt;0,"Expired",IF($N56&lt;=Settings!$B$2,"Urgent",IF($N56&lt;=Settings!$B$3,"Review","Active")))))</f>
        <v/>
      </c>
      <c r="AB56" s="28" t="str">
        <f>IF($F56="","",IF($X56="","",IF($Y56&lt;0,"Past EOL",IF($Y56&lt;=Settings!$B$4,"EOL soon","Supported"))))</f>
        <v/>
      </c>
      <c r="AC56" s="28" t="str">
        <f t="shared" si="4"/>
        <v/>
      </c>
      <c r="AD56" s="20"/>
      <c r="AE56" s="22"/>
      <c r="AF56" s="21"/>
      <c r="AG56" s="21"/>
    </row>
    <row r="57" spans="1:33">
      <c r="A57" s="20"/>
      <c r="B57" s="20"/>
      <c r="C57" s="44"/>
      <c r="D57" s="44"/>
      <c r="E57" s="20"/>
      <c r="F57" s="21"/>
      <c r="G57" s="21"/>
      <c r="H57" s="20"/>
      <c r="I57" s="20"/>
      <c r="J57" s="20"/>
      <c r="K57" s="21"/>
      <c r="L57" s="22"/>
      <c r="M57" s="22"/>
      <c r="N57" s="23" t="str">
        <f t="shared" ca="1" si="0"/>
        <v/>
      </c>
      <c r="O57" s="20"/>
      <c r="P57" s="20"/>
      <c r="Q57" s="24"/>
      <c r="R57" s="24"/>
      <c r="S57" s="23" t="str">
        <f t="shared" si="1"/>
        <v/>
      </c>
      <c r="T57" s="25" t="str">
        <f t="shared" si="2"/>
        <v/>
      </c>
      <c r="U57" s="26"/>
      <c r="V57" s="20"/>
      <c r="W57" s="27" t="str">
        <f t="shared" si="5"/>
        <v/>
      </c>
      <c r="X57" s="22"/>
      <c r="Y57" s="23" t="str">
        <f t="shared" ca="1" si="3"/>
        <v/>
      </c>
      <c r="Z57" s="20"/>
      <c r="AA57" s="28" t="str">
        <f>IF($F57="","",IF($M57="","Missing expiry",IF($N57&lt;0,"Expired",IF($N57&lt;=Settings!$B$2,"Urgent",IF($N57&lt;=Settings!$B$3,"Review","Active")))))</f>
        <v/>
      </c>
      <c r="AB57" s="28" t="str">
        <f>IF($F57="","",IF($X57="","",IF($Y57&lt;0,"Past EOL",IF($Y57&lt;=Settings!$B$4,"EOL soon","Supported"))))</f>
        <v/>
      </c>
      <c r="AC57" s="28" t="str">
        <f t="shared" si="4"/>
        <v/>
      </c>
      <c r="AD57" s="20"/>
      <c r="AE57" s="22"/>
      <c r="AF57" s="21"/>
      <c r="AG57" s="21"/>
    </row>
    <row r="58" spans="1:33">
      <c r="A58" s="20"/>
      <c r="B58" s="20"/>
      <c r="C58" s="44"/>
      <c r="D58" s="44"/>
      <c r="E58" s="20"/>
      <c r="F58" s="21"/>
      <c r="G58" s="21"/>
      <c r="H58" s="20"/>
      <c r="I58" s="20"/>
      <c r="J58" s="20"/>
      <c r="K58" s="21"/>
      <c r="L58" s="22"/>
      <c r="M58" s="22"/>
      <c r="N58" s="23" t="str">
        <f t="shared" ca="1" si="0"/>
        <v/>
      </c>
      <c r="O58" s="20"/>
      <c r="P58" s="20"/>
      <c r="Q58" s="24"/>
      <c r="R58" s="24"/>
      <c r="S58" s="23" t="str">
        <f t="shared" si="1"/>
        <v/>
      </c>
      <c r="T58" s="25" t="str">
        <f t="shared" si="2"/>
        <v/>
      </c>
      <c r="U58" s="26"/>
      <c r="V58" s="20"/>
      <c r="W58" s="27" t="str">
        <f t="shared" si="5"/>
        <v/>
      </c>
      <c r="X58" s="22"/>
      <c r="Y58" s="23" t="str">
        <f t="shared" ca="1" si="3"/>
        <v/>
      </c>
      <c r="Z58" s="20"/>
      <c r="AA58" s="28" t="str">
        <f>IF($F58="","",IF($M58="","Missing expiry",IF($N58&lt;0,"Expired",IF($N58&lt;=Settings!$B$2,"Urgent",IF($N58&lt;=Settings!$B$3,"Review","Active")))))</f>
        <v/>
      </c>
      <c r="AB58" s="28" t="str">
        <f>IF($F58="","",IF($X58="","",IF($Y58&lt;0,"Past EOL",IF($Y58&lt;=Settings!$B$4,"EOL soon","Supported"))))</f>
        <v/>
      </c>
      <c r="AC58" s="28" t="str">
        <f t="shared" si="4"/>
        <v/>
      </c>
      <c r="AD58" s="20"/>
      <c r="AE58" s="22"/>
      <c r="AF58" s="21"/>
      <c r="AG58" s="21"/>
    </row>
    <row r="59" spans="1:33">
      <c r="A59" s="20"/>
      <c r="B59" s="20"/>
      <c r="C59" s="44"/>
      <c r="D59" s="44"/>
      <c r="E59" s="20"/>
      <c r="F59" s="21"/>
      <c r="G59" s="21"/>
      <c r="H59" s="20"/>
      <c r="I59" s="20"/>
      <c r="J59" s="20"/>
      <c r="K59" s="21"/>
      <c r="L59" s="22"/>
      <c r="M59" s="22"/>
      <c r="N59" s="23" t="str">
        <f t="shared" ca="1" si="0"/>
        <v/>
      </c>
      <c r="O59" s="20"/>
      <c r="P59" s="20"/>
      <c r="Q59" s="24"/>
      <c r="R59" s="24"/>
      <c r="S59" s="23" t="str">
        <f t="shared" si="1"/>
        <v/>
      </c>
      <c r="T59" s="25" t="str">
        <f t="shared" si="2"/>
        <v/>
      </c>
      <c r="U59" s="26"/>
      <c r="V59" s="20"/>
      <c r="W59" s="27" t="str">
        <f t="shared" si="5"/>
        <v/>
      </c>
      <c r="X59" s="22"/>
      <c r="Y59" s="23" t="str">
        <f t="shared" ca="1" si="3"/>
        <v/>
      </c>
      <c r="Z59" s="20"/>
      <c r="AA59" s="28" t="str">
        <f>IF($F59="","",IF($M59="","Missing expiry",IF($N59&lt;0,"Expired",IF($N59&lt;=Settings!$B$2,"Urgent",IF($N59&lt;=Settings!$B$3,"Review","Active")))))</f>
        <v/>
      </c>
      <c r="AB59" s="28" t="str">
        <f>IF($F59="","",IF($X59="","",IF($Y59&lt;0,"Past EOL",IF($Y59&lt;=Settings!$B$4,"EOL soon","Supported"))))</f>
        <v/>
      </c>
      <c r="AC59" s="28" t="str">
        <f t="shared" si="4"/>
        <v/>
      </c>
      <c r="AD59" s="20"/>
      <c r="AE59" s="22"/>
      <c r="AF59" s="21"/>
      <c r="AG59" s="21"/>
    </row>
    <row r="60" spans="1:33">
      <c r="A60" s="20"/>
      <c r="B60" s="20"/>
      <c r="C60" s="44"/>
      <c r="D60" s="44"/>
      <c r="E60" s="20"/>
      <c r="F60" s="21"/>
      <c r="G60" s="21"/>
      <c r="H60" s="20"/>
      <c r="I60" s="20"/>
      <c r="J60" s="20"/>
      <c r="K60" s="21"/>
      <c r="L60" s="22"/>
      <c r="M60" s="22"/>
      <c r="N60" s="23" t="str">
        <f t="shared" ca="1" si="0"/>
        <v/>
      </c>
      <c r="O60" s="20"/>
      <c r="P60" s="20"/>
      <c r="Q60" s="24"/>
      <c r="R60" s="24"/>
      <c r="S60" s="23" t="str">
        <f t="shared" si="1"/>
        <v/>
      </c>
      <c r="T60" s="25" t="str">
        <f t="shared" si="2"/>
        <v/>
      </c>
      <c r="U60" s="26"/>
      <c r="V60" s="20"/>
      <c r="W60" s="27" t="str">
        <f t="shared" si="5"/>
        <v/>
      </c>
      <c r="X60" s="22"/>
      <c r="Y60" s="23" t="str">
        <f t="shared" ca="1" si="3"/>
        <v/>
      </c>
      <c r="Z60" s="20"/>
      <c r="AA60" s="28" t="str">
        <f>IF($F60="","",IF($M60="","Missing expiry",IF($N60&lt;0,"Expired",IF($N60&lt;=Settings!$B$2,"Urgent",IF($N60&lt;=Settings!$B$3,"Review","Active")))))</f>
        <v/>
      </c>
      <c r="AB60" s="28" t="str">
        <f>IF($F60="","",IF($X60="","",IF($Y60&lt;0,"Past EOL",IF($Y60&lt;=Settings!$B$4,"EOL soon","Supported"))))</f>
        <v/>
      </c>
      <c r="AC60" s="28" t="str">
        <f t="shared" si="4"/>
        <v/>
      </c>
      <c r="AD60" s="20"/>
      <c r="AE60" s="22"/>
      <c r="AF60" s="21"/>
      <c r="AG60" s="21"/>
    </row>
    <row r="61" spans="1:33">
      <c r="A61" s="20"/>
      <c r="B61" s="20"/>
      <c r="C61" s="44"/>
      <c r="D61" s="44"/>
      <c r="E61" s="20"/>
      <c r="F61" s="21"/>
      <c r="G61" s="21"/>
      <c r="H61" s="20"/>
      <c r="I61" s="20"/>
      <c r="J61" s="20"/>
      <c r="K61" s="21"/>
      <c r="L61" s="22"/>
      <c r="M61" s="22"/>
      <c r="N61" s="23" t="str">
        <f t="shared" ca="1" si="0"/>
        <v/>
      </c>
      <c r="O61" s="20"/>
      <c r="P61" s="20"/>
      <c r="Q61" s="24"/>
      <c r="R61" s="24"/>
      <c r="S61" s="23" t="str">
        <f t="shared" si="1"/>
        <v/>
      </c>
      <c r="T61" s="25" t="str">
        <f t="shared" si="2"/>
        <v/>
      </c>
      <c r="U61" s="26"/>
      <c r="V61" s="20"/>
      <c r="W61" s="27" t="str">
        <f t="shared" si="5"/>
        <v/>
      </c>
      <c r="X61" s="22"/>
      <c r="Y61" s="23" t="str">
        <f t="shared" ca="1" si="3"/>
        <v/>
      </c>
      <c r="Z61" s="20"/>
      <c r="AA61" s="28" t="str">
        <f>IF($F61="","",IF($M61="","Missing expiry",IF($N61&lt;0,"Expired",IF($N61&lt;=Settings!$B$2,"Urgent",IF($N61&lt;=Settings!$B$3,"Review","Active")))))</f>
        <v/>
      </c>
      <c r="AB61" s="28" t="str">
        <f>IF($F61="","",IF($X61="","",IF($Y61&lt;0,"Past EOL",IF($Y61&lt;=Settings!$B$4,"EOL soon","Supported"))))</f>
        <v/>
      </c>
      <c r="AC61" s="28" t="str">
        <f t="shared" si="4"/>
        <v/>
      </c>
      <c r="AD61" s="20"/>
      <c r="AE61" s="22"/>
      <c r="AF61" s="21"/>
      <c r="AG61" s="21"/>
    </row>
    <row r="62" spans="1:33">
      <c r="A62" s="20"/>
      <c r="B62" s="20"/>
      <c r="C62" s="44"/>
      <c r="D62" s="44"/>
      <c r="E62" s="20"/>
      <c r="F62" s="21"/>
      <c r="G62" s="21"/>
      <c r="H62" s="20"/>
      <c r="I62" s="20"/>
      <c r="J62" s="20"/>
      <c r="K62" s="21"/>
      <c r="L62" s="22"/>
      <c r="M62" s="22"/>
      <c r="N62" s="23" t="str">
        <f t="shared" ca="1" si="0"/>
        <v/>
      </c>
      <c r="O62" s="20"/>
      <c r="P62" s="20"/>
      <c r="Q62" s="24"/>
      <c r="R62" s="24"/>
      <c r="S62" s="23" t="str">
        <f t="shared" si="1"/>
        <v/>
      </c>
      <c r="T62" s="25" t="str">
        <f t="shared" si="2"/>
        <v/>
      </c>
      <c r="U62" s="26"/>
      <c r="V62" s="20"/>
      <c r="W62" s="27" t="str">
        <f t="shared" si="5"/>
        <v/>
      </c>
      <c r="X62" s="22"/>
      <c r="Y62" s="23" t="str">
        <f t="shared" ca="1" si="3"/>
        <v/>
      </c>
      <c r="Z62" s="20"/>
      <c r="AA62" s="28" t="str">
        <f>IF($F62="","",IF($M62="","Missing expiry",IF($N62&lt;0,"Expired",IF($N62&lt;=Settings!$B$2,"Urgent",IF($N62&lt;=Settings!$B$3,"Review","Active")))))</f>
        <v/>
      </c>
      <c r="AB62" s="28" t="str">
        <f>IF($F62="","",IF($X62="","",IF($Y62&lt;0,"Past EOL",IF($Y62&lt;=Settings!$B$4,"EOL soon","Supported"))))</f>
        <v/>
      </c>
      <c r="AC62" s="28" t="str">
        <f t="shared" si="4"/>
        <v/>
      </c>
      <c r="AD62" s="20"/>
      <c r="AE62" s="22"/>
      <c r="AF62" s="21"/>
      <c r="AG62" s="21"/>
    </row>
    <row r="63" spans="1:33">
      <c r="A63" s="20"/>
      <c r="B63" s="20"/>
      <c r="C63" s="44"/>
      <c r="D63" s="44"/>
      <c r="E63" s="20"/>
      <c r="F63" s="21"/>
      <c r="G63" s="21"/>
      <c r="H63" s="20"/>
      <c r="I63" s="20"/>
      <c r="J63" s="20"/>
      <c r="K63" s="21"/>
      <c r="L63" s="22"/>
      <c r="M63" s="22"/>
      <c r="N63" s="23" t="str">
        <f t="shared" ca="1" si="0"/>
        <v/>
      </c>
      <c r="O63" s="20"/>
      <c r="P63" s="20"/>
      <c r="Q63" s="24"/>
      <c r="R63" s="24"/>
      <c r="S63" s="23" t="str">
        <f t="shared" si="1"/>
        <v/>
      </c>
      <c r="T63" s="25" t="str">
        <f t="shared" si="2"/>
        <v/>
      </c>
      <c r="U63" s="26"/>
      <c r="V63" s="20"/>
      <c r="W63" s="27" t="str">
        <f t="shared" si="5"/>
        <v/>
      </c>
      <c r="X63" s="22"/>
      <c r="Y63" s="23" t="str">
        <f t="shared" ca="1" si="3"/>
        <v/>
      </c>
      <c r="Z63" s="20"/>
      <c r="AA63" s="28" t="str">
        <f>IF($F63="","",IF($M63="","Missing expiry",IF($N63&lt;0,"Expired",IF($N63&lt;=Settings!$B$2,"Urgent",IF($N63&lt;=Settings!$B$3,"Review","Active")))))</f>
        <v/>
      </c>
      <c r="AB63" s="28" t="str">
        <f>IF($F63="","",IF($X63="","",IF($Y63&lt;0,"Past EOL",IF($Y63&lt;=Settings!$B$4,"EOL soon","Supported"))))</f>
        <v/>
      </c>
      <c r="AC63" s="28" t="str">
        <f t="shared" si="4"/>
        <v/>
      </c>
      <c r="AD63" s="20"/>
      <c r="AE63" s="22"/>
      <c r="AF63" s="21"/>
      <c r="AG63" s="21"/>
    </row>
    <row r="64" spans="1:33">
      <c r="A64" s="20"/>
      <c r="B64" s="20"/>
      <c r="C64" s="44"/>
      <c r="D64" s="44"/>
      <c r="E64" s="20"/>
      <c r="F64" s="21"/>
      <c r="G64" s="21"/>
      <c r="H64" s="20"/>
      <c r="I64" s="20"/>
      <c r="J64" s="20"/>
      <c r="K64" s="21"/>
      <c r="L64" s="22"/>
      <c r="M64" s="22"/>
      <c r="N64" s="23" t="str">
        <f t="shared" ca="1" si="0"/>
        <v/>
      </c>
      <c r="O64" s="20"/>
      <c r="P64" s="20"/>
      <c r="Q64" s="24"/>
      <c r="R64" s="24"/>
      <c r="S64" s="23" t="str">
        <f t="shared" si="1"/>
        <v/>
      </c>
      <c r="T64" s="25" t="str">
        <f t="shared" si="2"/>
        <v/>
      </c>
      <c r="U64" s="26"/>
      <c r="V64" s="20"/>
      <c r="W64" s="27" t="str">
        <f t="shared" si="5"/>
        <v/>
      </c>
      <c r="X64" s="22"/>
      <c r="Y64" s="23" t="str">
        <f t="shared" ca="1" si="3"/>
        <v/>
      </c>
      <c r="Z64" s="20"/>
      <c r="AA64" s="28" t="str">
        <f>IF($F64="","",IF($M64="","Missing expiry",IF($N64&lt;0,"Expired",IF($N64&lt;=Settings!$B$2,"Urgent",IF($N64&lt;=Settings!$B$3,"Review","Active")))))</f>
        <v/>
      </c>
      <c r="AB64" s="28" t="str">
        <f>IF($F64="","",IF($X64="","",IF($Y64&lt;0,"Past EOL",IF($Y64&lt;=Settings!$B$4,"EOL soon","Supported"))))</f>
        <v/>
      </c>
      <c r="AC64" s="28" t="str">
        <f t="shared" si="4"/>
        <v/>
      </c>
      <c r="AD64" s="20"/>
      <c r="AE64" s="22"/>
      <c r="AF64" s="21"/>
      <c r="AG64" s="21"/>
    </row>
    <row r="65" spans="1:33">
      <c r="A65" s="20"/>
      <c r="B65" s="20"/>
      <c r="C65" s="44"/>
      <c r="D65" s="44"/>
      <c r="E65" s="20"/>
      <c r="F65" s="21"/>
      <c r="G65" s="21"/>
      <c r="H65" s="20"/>
      <c r="I65" s="20"/>
      <c r="J65" s="20"/>
      <c r="K65" s="21"/>
      <c r="L65" s="22"/>
      <c r="M65" s="22"/>
      <c r="N65" s="23" t="str">
        <f t="shared" ca="1" si="0"/>
        <v/>
      </c>
      <c r="O65" s="20"/>
      <c r="P65" s="20"/>
      <c r="Q65" s="24"/>
      <c r="R65" s="24"/>
      <c r="S65" s="23" t="str">
        <f t="shared" si="1"/>
        <v/>
      </c>
      <c r="T65" s="25" t="str">
        <f t="shared" si="2"/>
        <v/>
      </c>
      <c r="U65" s="26"/>
      <c r="V65" s="20"/>
      <c r="W65" s="27" t="str">
        <f t="shared" si="5"/>
        <v/>
      </c>
      <c r="X65" s="22"/>
      <c r="Y65" s="23" t="str">
        <f t="shared" ca="1" si="3"/>
        <v/>
      </c>
      <c r="Z65" s="20"/>
      <c r="AA65" s="28" t="str">
        <f>IF($F65="","",IF($M65="","Missing expiry",IF($N65&lt;0,"Expired",IF($N65&lt;=Settings!$B$2,"Urgent",IF($N65&lt;=Settings!$B$3,"Review","Active")))))</f>
        <v/>
      </c>
      <c r="AB65" s="28" t="str">
        <f>IF($F65="","",IF($X65="","",IF($Y65&lt;0,"Past EOL",IF($Y65&lt;=Settings!$B$4,"EOL soon","Supported"))))</f>
        <v/>
      </c>
      <c r="AC65" s="28" t="str">
        <f t="shared" si="4"/>
        <v/>
      </c>
      <c r="AD65" s="20"/>
      <c r="AE65" s="22"/>
      <c r="AF65" s="21"/>
      <c r="AG65" s="21"/>
    </row>
    <row r="66" spans="1:33">
      <c r="A66" s="20"/>
      <c r="B66" s="20"/>
      <c r="C66" s="44"/>
      <c r="D66" s="44"/>
      <c r="E66" s="20"/>
      <c r="F66" s="21"/>
      <c r="G66" s="21"/>
      <c r="H66" s="20"/>
      <c r="I66" s="20"/>
      <c r="J66" s="20"/>
      <c r="K66" s="21"/>
      <c r="L66" s="22"/>
      <c r="M66" s="22"/>
      <c r="N66" s="23" t="str">
        <f t="shared" ca="1" si="0"/>
        <v/>
      </c>
      <c r="O66" s="20"/>
      <c r="P66" s="20"/>
      <c r="Q66" s="24"/>
      <c r="R66" s="24"/>
      <c r="S66" s="23" t="str">
        <f t="shared" si="1"/>
        <v/>
      </c>
      <c r="T66" s="25" t="str">
        <f t="shared" si="2"/>
        <v/>
      </c>
      <c r="U66" s="26"/>
      <c r="V66" s="20"/>
      <c r="W66" s="27" t="str">
        <f t="shared" si="5"/>
        <v/>
      </c>
      <c r="X66" s="22"/>
      <c r="Y66" s="23" t="str">
        <f t="shared" ca="1" si="3"/>
        <v/>
      </c>
      <c r="Z66" s="20"/>
      <c r="AA66" s="28" t="str">
        <f>IF($F66="","",IF($M66="","Missing expiry",IF($N66&lt;0,"Expired",IF($N66&lt;=Settings!$B$2,"Urgent",IF($N66&lt;=Settings!$B$3,"Review","Active")))))</f>
        <v/>
      </c>
      <c r="AB66" s="28" t="str">
        <f>IF($F66="","",IF($X66="","",IF($Y66&lt;0,"Past EOL",IF($Y66&lt;=Settings!$B$4,"EOL soon","Supported"))))</f>
        <v/>
      </c>
      <c r="AC66" s="28" t="str">
        <f t="shared" si="4"/>
        <v/>
      </c>
      <c r="AD66" s="20"/>
      <c r="AE66" s="22"/>
      <c r="AF66" s="21"/>
      <c r="AG66" s="21"/>
    </row>
    <row r="67" spans="1:33">
      <c r="A67" s="20"/>
      <c r="B67" s="20"/>
      <c r="C67" s="44"/>
      <c r="D67" s="44"/>
      <c r="E67" s="20"/>
      <c r="F67" s="21"/>
      <c r="G67" s="21"/>
      <c r="H67" s="20"/>
      <c r="I67" s="20"/>
      <c r="J67" s="20"/>
      <c r="K67" s="21"/>
      <c r="L67" s="22"/>
      <c r="M67" s="22"/>
      <c r="N67" s="23" t="str">
        <f t="shared" ca="1" si="0"/>
        <v/>
      </c>
      <c r="O67" s="20"/>
      <c r="P67" s="20"/>
      <c r="Q67" s="24"/>
      <c r="R67" s="24"/>
      <c r="S67" s="23" t="str">
        <f t="shared" si="1"/>
        <v/>
      </c>
      <c r="T67" s="25" t="str">
        <f t="shared" si="2"/>
        <v/>
      </c>
      <c r="U67" s="26"/>
      <c r="V67" s="20"/>
      <c r="W67" s="27" t="str">
        <f t="shared" si="5"/>
        <v/>
      </c>
      <c r="X67" s="22"/>
      <c r="Y67" s="23" t="str">
        <f t="shared" ca="1" si="3"/>
        <v/>
      </c>
      <c r="Z67" s="20"/>
      <c r="AA67" s="28" t="str">
        <f>IF($F67="","",IF($M67="","Missing expiry",IF($N67&lt;0,"Expired",IF($N67&lt;=Settings!$B$2,"Urgent",IF($N67&lt;=Settings!$B$3,"Review","Active")))))</f>
        <v/>
      </c>
      <c r="AB67" s="28" t="str">
        <f>IF($F67="","",IF($X67="","",IF($Y67&lt;0,"Past EOL",IF($Y67&lt;=Settings!$B$4,"EOL soon","Supported"))))</f>
        <v/>
      </c>
      <c r="AC67" s="28" t="str">
        <f t="shared" si="4"/>
        <v/>
      </c>
      <c r="AD67" s="20"/>
      <c r="AE67" s="22"/>
      <c r="AF67" s="21"/>
      <c r="AG67" s="21"/>
    </row>
    <row r="68" spans="1:33">
      <c r="A68" s="20"/>
      <c r="B68" s="20"/>
      <c r="C68" s="44"/>
      <c r="D68" s="44"/>
      <c r="E68" s="20"/>
      <c r="F68" s="21"/>
      <c r="G68" s="21"/>
      <c r="H68" s="20"/>
      <c r="I68" s="20"/>
      <c r="J68" s="20"/>
      <c r="K68" s="21"/>
      <c r="L68" s="22"/>
      <c r="M68" s="22"/>
      <c r="N68" s="23" t="str">
        <f t="shared" ca="1" si="0"/>
        <v/>
      </c>
      <c r="O68" s="20"/>
      <c r="P68" s="20"/>
      <c r="Q68" s="24"/>
      <c r="R68" s="24"/>
      <c r="S68" s="23" t="str">
        <f t="shared" si="1"/>
        <v/>
      </c>
      <c r="T68" s="25" t="str">
        <f t="shared" si="2"/>
        <v/>
      </c>
      <c r="U68" s="26"/>
      <c r="V68" s="20"/>
      <c r="W68" s="27" t="str">
        <f t="shared" si="5"/>
        <v/>
      </c>
      <c r="X68" s="22"/>
      <c r="Y68" s="23" t="str">
        <f t="shared" ca="1" si="3"/>
        <v/>
      </c>
      <c r="Z68" s="20"/>
      <c r="AA68" s="28" t="str">
        <f>IF($F68="","",IF($M68="","Missing expiry",IF($N68&lt;0,"Expired",IF($N68&lt;=Settings!$B$2,"Urgent",IF($N68&lt;=Settings!$B$3,"Review","Active")))))</f>
        <v/>
      </c>
      <c r="AB68" s="28" t="str">
        <f>IF($F68="","",IF($X68="","",IF($Y68&lt;0,"Past EOL",IF($Y68&lt;=Settings!$B$4,"EOL soon","Supported"))))</f>
        <v/>
      </c>
      <c r="AC68" s="28" t="str">
        <f t="shared" si="4"/>
        <v/>
      </c>
      <c r="AD68" s="20"/>
      <c r="AE68" s="22"/>
      <c r="AF68" s="21"/>
      <c r="AG68" s="21"/>
    </row>
    <row r="69" spans="1:33">
      <c r="A69" s="20"/>
      <c r="B69" s="20"/>
      <c r="C69" s="44"/>
      <c r="D69" s="44"/>
      <c r="E69" s="20"/>
      <c r="F69" s="21"/>
      <c r="G69" s="21"/>
      <c r="H69" s="20"/>
      <c r="I69" s="20"/>
      <c r="J69" s="20"/>
      <c r="K69" s="21"/>
      <c r="L69" s="22"/>
      <c r="M69" s="22"/>
      <c r="N69" s="23" t="str">
        <f t="shared" ca="1" si="0"/>
        <v/>
      </c>
      <c r="O69" s="20"/>
      <c r="P69" s="20"/>
      <c r="Q69" s="24"/>
      <c r="R69" s="24"/>
      <c r="S69" s="23" t="str">
        <f t="shared" si="1"/>
        <v/>
      </c>
      <c r="T69" s="25" t="str">
        <f t="shared" si="2"/>
        <v/>
      </c>
      <c r="U69" s="26"/>
      <c r="V69" s="20"/>
      <c r="W69" s="27" t="str">
        <f t="shared" si="5"/>
        <v/>
      </c>
      <c r="X69" s="22"/>
      <c r="Y69" s="23" t="str">
        <f t="shared" ca="1" si="3"/>
        <v/>
      </c>
      <c r="Z69" s="20"/>
      <c r="AA69" s="28" t="str">
        <f>IF($F69="","",IF($M69="","Missing expiry",IF($N69&lt;0,"Expired",IF($N69&lt;=Settings!$B$2,"Urgent",IF($N69&lt;=Settings!$B$3,"Review","Active")))))</f>
        <v/>
      </c>
      <c r="AB69" s="28" t="str">
        <f>IF($F69="","",IF($X69="","",IF($Y69&lt;0,"Past EOL",IF($Y69&lt;=Settings!$B$4,"EOL soon","Supported"))))</f>
        <v/>
      </c>
      <c r="AC69" s="28" t="str">
        <f t="shared" si="4"/>
        <v/>
      </c>
      <c r="AD69" s="20"/>
      <c r="AE69" s="22"/>
      <c r="AF69" s="21"/>
      <c r="AG69" s="21"/>
    </row>
    <row r="70" spans="1:33">
      <c r="A70" s="20"/>
      <c r="B70" s="20"/>
      <c r="C70" s="44"/>
      <c r="D70" s="44"/>
      <c r="E70" s="20"/>
      <c r="F70" s="21"/>
      <c r="G70" s="21"/>
      <c r="H70" s="20"/>
      <c r="I70" s="20"/>
      <c r="J70" s="20"/>
      <c r="K70" s="21"/>
      <c r="L70" s="22"/>
      <c r="M70" s="22"/>
      <c r="N70" s="23" t="str">
        <f t="shared" ca="1" si="0"/>
        <v/>
      </c>
      <c r="O70" s="20"/>
      <c r="P70" s="20"/>
      <c r="Q70" s="24"/>
      <c r="R70" s="24"/>
      <c r="S70" s="23" t="str">
        <f t="shared" si="1"/>
        <v/>
      </c>
      <c r="T70" s="25" t="str">
        <f t="shared" si="2"/>
        <v/>
      </c>
      <c r="U70" s="26"/>
      <c r="V70" s="20"/>
      <c r="W70" s="27" t="str">
        <f t="shared" si="5"/>
        <v/>
      </c>
      <c r="X70" s="22"/>
      <c r="Y70" s="23" t="str">
        <f t="shared" ca="1" si="3"/>
        <v/>
      </c>
      <c r="Z70" s="20"/>
      <c r="AA70" s="28" t="str">
        <f>IF($F70="","",IF($M70="","Missing expiry",IF($N70&lt;0,"Expired",IF($N70&lt;=Settings!$B$2,"Urgent",IF($N70&lt;=Settings!$B$3,"Review","Active")))))</f>
        <v/>
      </c>
      <c r="AB70" s="28" t="str">
        <f>IF($F70="","",IF($X70="","",IF($Y70&lt;0,"Past EOL",IF($Y70&lt;=Settings!$B$4,"EOL soon","Supported"))))</f>
        <v/>
      </c>
      <c r="AC70" s="28" t="str">
        <f t="shared" si="4"/>
        <v/>
      </c>
      <c r="AD70" s="20"/>
      <c r="AE70" s="22"/>
      <c r="AF70" s="21"/>
      <c r="AG70" s="21"/>
    </row>
    <row r="71" spans="1:33">
      <c r="A71" s="20"/>
      <c r="B71" s="20"/>
      <c r="C71" s="44"/>
      <c r="D71" s="44"/>
      <c r="E71" s="20"/>
      <c r="F71" s="21"/>
      <c r="G71" s="21"/>
      <c r="H71" s="20"/>
      <c r="I71" s="20"/>
      <c r="J71" s="20"/>
      <c r="K71" s="21"/>
      <c r="L71" s="22"/>
      <c r="M71" s="22"/>
      <c r="N71" s="23" t="str">
        <f t="shared" ref="N71:N134" ca="1" si="6">IF($F71="","",IF($M71="","",$M71-TODAY()))</f>
        <v/>
      </c>
      <c r="O71" s="20"/>
      <c r="P71" s="20"/>
      <c r="Q71" s="24"/>
      <c r="R71" s="24"/>
      <c r="S71" s="23" t="str">
        <f t="shared" ref="S71:S134" si="7">IF($F71="","",IF(OR($Q71="",$R71=""),"",$Q71-$R71))</f>
        <v/>
      </c>
      <c r="T71" s="25" t="str">
        <f t="shared" ref="T71:T122" si="8">IF($F71="","",IF(OR($Q71="",$Q71=0,$R71=""),"",$R71/$Q71))</f>
        <v/>
      </c>
      <c r="U71" s="26"/>
      <c r="V71" s="20"/>
      <c r="W71" s="27" t="str">
        <f t="shared" ref="W71:W134" si="9">IF($F71="","",IF(OR($U71="",$Q71=""),"",$U71*$Q71))</f>
        <v/>
      </c>
      <c r="X71" s="22"/>
      <c r="Y71" s="23" t="str">
        <f t="shared" ref="Y71:Y134" ca="1" si="10">IF($F71="","",IF($X71="","",$X71-TODAY()))</f>
        <v/>
      </c>
      <c r="Z71" s="20"/>
      <c r="AA71" s="28" t="str">
        <f>IF($F71="","",IF($M71="","Missing expiry",IF($N71&lt;0,"Expired",IF($N71&lt;=Settings!$B$2,"Urgent",IF($N71&lt;=Settings!$B$3,"Review","Active")))))</f>
        <v/>
      </c>
      <c r="AB71" s="28" t="str">
        <f>IF($F71="","",IF($X71="","",IF($Y71&lt;0,"Past EOL",IF($Y71&lt;=Settings!$B$4,"EOL soon","Supported"))))</f>
        <v/>
      </c>
      <c r="AC71" s="28" t="str">
        <f t="shared" ref="AC71:AC134" si="11">IF($F71="","",IF(OR($AA71="Expired",$AA71="Urgent",$AB71="Past EOL",$AB71="EOL soon"),"Yes","No"))</f>
        <v/>
      </c>
      <c r="AD71" s="20"/>
      <c r="AE71" s="22"/>
      <c r="AF71" s="21"/>
      <c r="AG71" s="21"/>
    </row>
    <row r="72" spans="1:33">
      <c r="A72" s="20"/>
      <c r="B72" s="20"/>
      <c r="C72" s="44"/>
      <c r="D72" s="44"/>
      <c r="E72" s="20"/>
      <c r="F72" s="21"/>
      <c r="G72" s="21"/>
      <c r="H72" s="20"/>
      <c r="I72" s="20"/>
      <c r="J72" s="20"/>
      <c r="K72" s="21"/>
      <c r="L72" s="22"/>
      <c r="M72" s="22"/>
      <c r="N72" s="23" t="str">
        <f t="shared" ca="1" si="6"/>
        <v/>
      </c>
      <c r="O72" s="20"/>
      <c r="P72" s="20"/>
      <c r="Q72" s="24"/>
      <c r="R72" s="24"/>
      <c r="S72" s="23" t="str">
        <f t="shared" si="7"/>
        <v/>
      </c>
      <c r="T72" s="25" t="str">
        <f t="shared" si="8"/>
        <v/>
      </c>
      <c r="U72" s="26"/>
      <c r="V72" s="20"/>
      <c r="W72" s="27" t="str">
        <f t="shared" si="9"/>
        <v/>
      </c>
      <c r="X72" s="22"/>
      <c r="Y72" s="23" t="str">
        <f t="shared" ca="1" si="10"/>
        <v/>
      </c>
      <c r="Z72" s="20"/>
      <c r="AA72" s="28" t="str">
        <f>IF($F72="","",IF($M72="","Missing expiry",IF($N72&lt;0,"Expired",IF($N72&lt;=Settings!$B$2,"Urgent",IF($N72&lt;=Settings!$B$3,"Review","Active")))))</f>
        <v/>
      </c>
      <c r="AB72" s="28" t="str">
        <f>IF($F72="","",IF($X72="","",IF($Y72&lt;0,"Past EOL",IF($Y72&lt;=Settings!$B$4,"EOL soon","Supported"))))</f>
        <v/>
      </c>
      <c r="AC72" s="28" t="str">
        <f t="shared" si="11"/>
        <v/>
      </c>
      <c r="AD72" s="20"/>
      <c r="AE72" s="22"/>
      <c r="AF72" s="21"/>
      <c r="AG72" s="21"/>
    </row>
    <row r="73" spans="1:33">
      <c r="A73" s="20"/>
      <c r="B73" s="20"/>
      <c r="C73" s="44"/>
      <c r="D73" s="44"/>
      <c r="E73" s="20"/>
      <c r="F73" s="21"/>
      <c r="G73" s="21"/>
      <c r="H73" s="20"/>
      <c r="I73" s="20"/>
      <c r="J73" s="20"/>
      <c r="K73" s="21"/>
      <c r="L73" s="22"/>
      <c r="M73" s="22"/>
      <c r="N73" s="23" t="str">
        <f t="shared" ca="1" si="6"/>
        <v/>
      </c>
      <c r="O73" s="20"/>
      <c r="P73" s="20"/>
      <c r="Q73" s="24"/>
      <c r="R73" s="24"/>
      <c r="S73" s="23" t="str">
        <f t="shared" si="7"/>
        <v/>
      </c>
      <c r="T73" s="25" t="str">
        <f t="shared" si="8"/>
        <v/>
      </c>
      <c r="U73" s="26"/>
      <c r="V73" s="20"/>
      <c r="W73" s="27" t="str">
        <f t="shared" si="9"/>
        <v/>
      </c>
      <c r="X73" s="22"/>
      <c r="Y73" s="23" t="str">
        <f t="shared" ca="1" si="10"/>
        <v/>
      </c>
      <c r="Z73" s="20"/>
      <c r="AA73" s="28" t="str">
        <f>IF($F73="","",IF($M73="","Missing expiry",IF($N73&lt;0,"Expired",IF($N73&lt;=Settings!$B$2,"Urgent",IF($N73&lt;=Settings!$B$3,"Review","Active")))))</f>
        <v/>
      </c>
      <c r="AB73" s="28" t="str">
        <f>IF($F73="","",IF($X73="","",IF($Y73&lt;0,"Past EOL",IF($Y73&lt;=Settings!$B$4,"EOL soon","Supported"))))</f>
        <v/>
      </c>
      <c r="AC73" s="28" t="str">
        <f t="shared" si="11"/>
        <v/>
      </c>
      <c r="AD73" s="20"/>
      <c r="AE73" s="22"/>
      <c r="AF73" s="21"/>
      <c r="AG73" s="21"/>
    </row>
    <row r="74" spans="1:33">
      <c r="A74" s="20"/>
      <c r="B74" s="20"/>
      <c r="C74" s="44"/>
      <c r="D74" s="44"/>
      <c r="E74" s="20"/>
      <c r="F74" s="21"/>
      <c r="G74" s="21"/>
      <c r="H74" s="20"/>
      <c r="I74" s="20"/>
      <c r="J74" s="20"/>
      <c r="K74" s="21"/>
      <c r="L74" s="22"/>
      <c r="M74" s="22"/>
      <c r="N74" s="23" t="str">
        <f t="shared" ca="1" si="6"/>
        <v/>
      </c>
      <c r="O74" s="20"/>
      <c r="P74" s="20"/>
      <c r="Q74" s="24"/>
      <c r="R74" s="24"/>
      <c r="S74" s="23" t="str">
        <f t="shared" si="7"/>
        <v/>
      </c>
      <c r="T74" s="25" t="str">
        <f t="shared" si="8"/>
        <v/>
      </c>
      <c r="U74" s="26"/>
      <c r="V74" s="20"/>
      <c r="W74" s="27" t="str">
        <f t="shared" si="9"/>
        <v/>
      </c>
      <c r="X74" s="22"/>
      <c r="Y74" s="23" t="str">
        <f t="shared" ca="1" si="10"/>
        <v/>
      </c>
      <c r="Z74" s="20"/>
      <c r="AA74" s="28" t="str">
        <f>IF($F74="","",IF($M74="","Missing expiry",IF($N74&lt;0,"Expired",IF($N74&lt;=Settings!$B$2,"Urgent",IF($N74&lt;=Settings!$B$3,"Review","Active")))))</f>
        <v/>
      </c>
      <c r="AB74" s="28" t="str">
        <f>IF($F74="","",IF($X74="","",IF($Y74&lt;0,"Past EOL",IF($Y74&lt;=Settings!$B$4,"EOL soon","Supported"))))</f>
        <v/>
      </c>
      <c r="AC74" s="28" t="str">
        <f t="shared" si="11"/>
        <v/>
      </c>
      <c r="AD74" s="20"/>
      <c r="AE74" s="22"/>
      <c r="AF74" s="21"/>
      <c r="AG74" s="21"/>
    </row>
    <row r="75" spans="1:33">
      <c r="A75" s="20"/>
      <c r="B75" s="20"/>
      <c r="C75" s="44"/>
      <c r="D75" s="44"/>
      <c r="E75" s="20"/>
      <c r="F75" s="21"/>
      <c r="G75" s="21"/>
      <c r="H75" s="20"/>
      <c r="I75" s="20"/>
      <c r="J75" s="20"/>
      <c r="K75" s="21"/>
      <c r="L75" s="22"/>
      <c r="M75" s="22"/>
      <c r="N75" s="23" t="str">
        <f t="shared" ca="1" si="6"/>
        <v/>
      </c>
      <c r="O75" s="20"/>
      <c r="P75" s="20"/>
      <c r="Q75" s="24"/>
      <c r="R75" s="24"/>
      <c r="S75" s="23" t="str">
        <f t="shared" si="7"/>
        <v/>
      </c>
      <c r="T75" s="25" t="str">
        <f t="shared" si="8"/>
        <v/>
      </c>
      <c r="U75" s="26"/>
      <c r="V75" s="20"/>
      <c r="W75" s="27" t="str">
        <f t="shared" si="9"/>
        <v/>
      </c>
      <c r="X75" s="22"/>
      <c r="Y75" s="23" t="str">
        <f t="shared" ca="1" si="10"/>
        <v/>
      </c>
      <c r="Z75" s="20"/>
      <c r="AA75" s="28" t="str">
        <f>IF($F75="","",IF($M75="","Missing expiry",IF($N75&lt;0,"Expired",IF($N75&lt;=Settings!$B$2,"Urgent",IF($N75&lt;=Settings!$B$3,"Review","Active")))))</f>
        <v/>
      </c>
      <c r="AB75" s="28" t="str">
        <f>IF($F75="","",IF($X75="","",IF($Y75&lt;0,"Past EOL",IF($Y75&lt;=Settings!$B$4,"EOL soon","Supported"))))</f>
        <v/>
      </c>
      <c r="AC75" s="28" t="str">
        <f t="shared" si="11"/>
        <v/>
      </c>
      <c r="AD75" s="20"/>
      <c r="AE75" s="22"/>
      <c r="AF75" s="21"/>
      <c r="AG75" s="21"/>
    </row>
    <row r="76" spans="1:33">
      <c r="A76" s="20"/>
      <c r="B76" s="20"/>
      <c r="C76" s="44"/>
      <c r="D76" s="44"/>
      <c r="E76" s="20"/>
      <c r="F76" s="21"/>
      <c r="G76" s="21"/>
      <c r="H76" s="20"/>
      <c r="I76" s="20"/>
      <c r="J76" s="20"/>
      <c r="K76" s="21"/>
      <c r="L76" s="22"/>
      <c r="M76" s="22"/>
      <c r="N76" s="23" t="str">
        <f t="shared" ca="1" si="6"/>
        <v/>
      </c>
      <c r="O76" s="20"/>
      <c r="P76" s="20"/>
      <c r="Q76" s="24"/>
      <c r="R76" s="24"/>
      <c r="S76" s="23" t="str">
        <f t="shared" si="7"/>
        <v/>
      </c>
      <c r="T76" s="25" t="str">
        <f t="shared" si="8"/>
        <v/>
      </c>
      <c r="U76" s="26"/>
      <c r="V76" s="20"/>
      <c r="W76" s="27" t="str">
        <f t="shared" si="9"/>
        <v/>
      </c>
      <c r="X76" s="22"/>
      <c r="Y76" s="23" t="str">
        <f t="shared" ca="1" si="10"/>
        <v/>
      </c>
      <c r="Z76" s="20"/>
      <c r="AA76" s="28" t="str">
        <f>IF($F76="","",IF($M76="","Missing expiry",IF($N76&lt;0,"Expired",IF($N76&lt;=Settings!$B$2,"Urgent",IF($N76&lt;=Settings!$B$3,"Review","Active")))))</f>
        <v/>
      </c>
      <c r="AB76" s="28" t="str">
        <f>IF($F76="","",IF($X76="","",IF($Y76&lt;0,"Past EOL",IF($Y76&lt;=Settings!$B$4,"EOL soon","Supported"))))</f>
        <v/>
      </c>
      <c r="AC76" s="28" t="str">
        <f t="shared" si="11"/>
        <v/>
      </c>
      <c r="AD76" s="20"/>
      <c r="AE76" s="22"/>
      <c r="AF76" s="21"/>
      <c r="AG76" s="21"/>
    </row>
    <row r="77" spans="1:33">
      <c r="A77" s="20"/>
      <c r="B77" s="20"/>
      <c r="C77" s="44"/>
      <c r="D77" s="44"/>
      <c r="E77" s="20"/>
      <c r="F77" s="21"/>
      <c r="G77" s="21"/>
      <c r="H77" s="20"/>
      <c r="I77" s="20"/>
      <c r="J77" s="20"/>
      <c r="K77" s="21"/>
      <c r="L77" s="22"/>
      <c r="M77" s="22"/>
      <c r="N77" s="23" t="str">
        <f t="shared" ca="1" si="6"/>
        <v/>
      </c>
      <c r="O77" s="20"/>
      <c r="P77" s="20"/>
      <c r="Q77" s="24"/>
      <c r="R77" s="24"/>
      <c r="S77" s="23" t="str">
        <f t="shared" si="7"/>
        <v/>
      </c>
      <c r="T77" s="25" t="str">
        <f t="shared" si="8"/>
        <v/>
      </c>
      <c r="U77" s="26"/>
      <c r="V77" s="20"/>
      <c r="W77" s="27" t="str">
        <f t="shared" si="9"/>
        <v/>
      </c>
      <c r="X77" s="22"/>
      <c r="Y77" s="23" t="str">
        <f t="shared" ca="1" si="10"/>
        <v/>
      </c>
      <c r="Z77" s="20"/>
      <c r="AA77" s="28" t="str">
        <f>IF($F77="","",IF($M77="","Missing expiry",IF($N77&lt;0,"Expired",IF($N77&lt;=Settings!$B$2,"Urgent",IF($N77&lt;=Settings!$B$3,"Review","Active")))))</f>
        <v/>
      </c>
      <c r="AB77" s="28" t="str">
        <f>IF($F77="","",IF($X77="","",IF($Y77&lt;0,"Past EOL",IF($Y77&lt;=Settings!$B$4,"EOL soon","Supported"))))</f>
        <v/>
      </c>
      <c r="AC77" s="28" t="str">
        <f t="shared" si="11"/>
        <v/>
      </c>
      <c r="AD77" s="20"/>
      <c r="AE77" s="22"/>
      <c r="AF77" s="21"/>
      <c r="AG77" s="21"/>
    </row>
    <row r="78" spans="1:33">
      <c r="A78" s="20"/>
      <c r="B78" s="20"/>
      <c r="C78" s="44"/>
      <c r="D78" s="44"/>
      <c r="E78" s="20"/>
      <c r="F78" s="21"/>
      <c r="G78" s="21"/>
      <c r="H78" s="20"/>
      <c r="I78" s="20"/>
      <c r="J78" s="20"/>
      <c r="K78" s="21"/>
      <c r="L78" s="22"/>
      <c r="M78" s="22"/>
      <c r="N78" s="23" t="str">
        <f t="shared" ca="1" si="6"/>
        <v/>
      </c>
      <c r="O78" s="20"/>
      <c r="P78" s="20"/>
      <c r="Q78" s="24"/>
      <c r="R78" s="24"/>
      <c r="S78" s="23" t="str">
        <f t="shared" si="7"/>
        <v/>
      </c>
      <c r="T78" s="25" t="str">
        <f t="shared" si="8"/>
        <v/>
      </c>
      <c r="U78" s="26"/>
      <c r="V78" s="20"/>
      <c r="W78" s="27" t="str">
        <f t="shared" si="9"/>
        <v/>
      </c>
      <c r="X78" s="22"/>
      <c r="Y78" s="23" t="str">
        <f t="shared" ca="1" si="10"/>
        <v/>
      </c>
      <c r="Z78" s="20"/>
      <c r="AA78" s="28" t="str">
        <f>IF($F78="","",IF($M78="","Missing expiry",IF($N78&lt;0,"Expired",IF($N78&lt;=Settings!$B$2,"Urgent",IF($N78&lt;=Settings!$B$3,"Review","Active")))))</f>
        <v/>
      </c>
      <c r="AB78" s="28" t="str">
        <f>IF($F78="","",IF($X78="","",IF($Y78&lt;0,"Past EOL",IF($Y78&lt;=Settings!$B$4,"EOL soon","Supported"))))</f>
        <v/>
      </c>
      <c r="AC78" s="28" t="str">
        <f t="shared" si="11"/>
        <v/>
      </c>
      <c r="AD78" s="20"/>
      <c r="AE78" s="22"/>
      <c r="AF78" s="21"/>
      <c r="AG78" s="21"/>
    </row>
    <row r="79" spans="1:33">
      <c r="A79" s="20"/>
      <c r="B79" s="20"/>
      <c r="C79" s="44"/>
      <c r="D79" s="44"/>
      <c r="E79" s="20"/>
      <c r="F79" s="21"/>
      <c r="G79" s="21"/>
      <c r="H79" s="20"/>
      <c r="I79" s="20"/>
      <c r="J79" s="20"/>
      <c r="K79" s="21"/>
      <c r="L79" s="22"/>
      <c r="M79" s="22"/>
      <c r="N79" s="23" t="str">
        <f t="shared" ca="1" si="6"/>
        <v/>
      </c>
      <c r="O79" s="20"/>
      <c r="P79" s="20"/>
      <c r="Q79" s="24"/>
      <c r="R79" s="24"/>
      <c r="S79" s="23" t="str">
        <f t="shared" si="7"/>
        <v/>
      </c>
      <c r="T79" s="25" t="str">
        <f t="shared" si="8"/>
        <v/>
      </c>
      <c r="U79" s="26"/>
      <c r="V79" s="20"/>
      <c r="W79" s="27" t="str">
        <f t="shared" si="9"/>
        <v/>
      </c>
      <c r="X79" s="22"/>
      <c r="Y79" s="23" t="str">
        <f t="shared" ca="1" si="10"/>
        <v/>
      </c>
      <c r="Z79" s="20"/>
      <c r="AA79" s="28" t="str">
        <f>IF($F79="","",IF($M79="","Missing expiry",IF($N79&lt;0,"Expired",IF($N79&lt;=Settings!$B$2,"Urgent",IF($N79&lt;=Settings!$B$3,"Review","Active")))))</f>
        <v/>
      </c>
      <c r="AB79" s="28" t="str">
        <f>IF($F79="","",IF($X79="","",IF($Y79&lt;0,"Past EOL",IF($Y79&lt;=Settings!$B$4,"EOL soon","Supported"))))</f>
        <v/>
      </c>
      <c r="AC79" s="28" t="str">
        <f t="shared" si="11"/>
        <v/>
      </c>
      <c r="AD79" s="20"/>
      <c r="AE79" s="22"/>
      <c r="AF79" s="21"/>
      <c r="AG79" s="21"/>
    </row>
    <row r="80" spans="1:33">
      <c r="A80" s="20"/>
      <c r="B80" s="20"/>
      <c r="C80" s="44"/>
      <c r="D80" s="44"/>
      <c r="E80" s="20"/>
      <c r="F80" s="21"/>
      <c r="G80" s="21"/>
      <c r="H80" s="20"/>
      <c r="I80" s="20"/>
      <c r="J80" s="20"/>
      <c r="K80" s="21"/>
      <c r="L80" s="22"/>
      <c r="M80" s="22"/>
      <c r="N80" s="23" t="str">
        <f t="shared" ca="1" si="6"/>
        <v/>
      </c>
      <c r="O80" s="20"/>
      <c r="P80" s="20"/>
      <c r="Q80" s="24"/>
      <c r="R80" s="24"/>
      <c r="S80" s="23" t="str">
        <f t="shared" si="7"/>
        <v/>
      </c>
      <c r="T80" s="25" t="str">
        <f t="shared" si="8"/>
        <v/>
      </c>
      <c r="U80" s="26"/>
      <c r="V80" s="20"/>
      <c r="W80" s="27" t="str">
        <f t="shared" si="9"/>
        <v/>
      </c>
      <c r="X80" s="22"/>
      <c r="Y80" s="23" t="str">
        <f t="shared" ca="1" si="10"/>
        <v/>
      </c>
      <c r="Z80" s="20"/>
      <c r="AA80" s="28" t="str">
        <f>IF($F80="","",IF($M80="","Missing expiry",IF($N80&lt;0,"Expired",IF($N80&lt;=Settings!$B$2,"Urgent",IF($N80&lt;=Settings!$B$3,"Review","Active")))))</f>
        <v/>
      </c>
      <c r="AB80" s="28" t="str">
        <f>IF($F80="","",IF($X80="","",IF($Y80&lt;0,"Past EOL",IF($Y80&lt;=Settings!$B$4,"EOL soon","Supported"))))</f>
        <v/>
      </c>
      <c r="AC80" s="28" t="str">
        <f t="shared" si="11"/>
        <v/>
      </c>
      <c r="AD80" s="20"/>
      <c r="AE80" s="22"/>
      <c r="AF80" s="21"/>
      <c r="AG80" s="21"/>
    </row>
    <row r="81" spans="1:33">
      <c r="A81" s="20"/>
      <c r="B81" s="20"/>
      <c r="C81" s="44"/>
      <c r="D81" s="44"/>
      <c r="E81" s="20"/>
      <c r="F81" s="21"/>
      <c r="G81" s="21"/>
      <c r="H81" s="20"/>
      <c r="I81" s="20"/>
      <c r="J81" s="20"/>
      <c r="K81" s="21"/>
      <c r="L81" s="22"/>
      <c r="M81" s="22"/>
      <c r="N81" s="23" t="str">
        <f t="shared" ca="1" si="6"/>
        <v/>
      </c>
      <c r="O81" s="20"/>
      <c r="P81" s="20"/>
      <c r="Q81" s="24"/>
      <c r="R81" s="24"/>
      <c r="S81" s="23" t="str">
        <f t="shared" si="7"/>
        <v/>
      </c>
      <c r="T81" s="25" t="str">
        <f t="shared" si="8"/>
        <v/>
      </c>
      <c r="U81" s="26"/>
      <c r="V81" s="20"/>
      <c r="W81" s="27" t="str">
        <f t="shared" si="9"/>
        <v/>
      </c>
      <c r="X81" s="22"/>
      <c r="Y81" s="23" t="str">
        <f t="shared" ca="1" si="10"/>
        <v/>
      </c>
      <c r="Z81" s="20"/>
      <c r="AA81" s="28" t="str">
        <f>IF($F81="","",IF($M81="","Missing expiry",IF($N81&lt;0,"Expired",IF($N81&lt;=Settings!$B$2,"Urgent",IF($N81&lt;=Settings!$B$3,"Review","Active")))))</f>
        <v/>
      </c>
      <c r="AB81" s="28" t="str">
        <f>IF($F81="","",IF($X81="","",IF($Y81&lt;0,"Past EOL",IF($Y81&lt;=Settings!$B$4,"EOL soon","Supported"))))</f>
        <v/>
      </c>
      <c r="AC81" s="28" t="str">
        <f t="shared" si="11"/>
        <v/>
      </c>
      <c r="AD81" s="20"/>
      <c r="AE81" s="22"/>
      <c r="AF81" s="21"/>
      <c r="AG81" s="21"/>
    </row>
    <row r="82" spans="1:33">
      <c r="A82" s="20"/>
      <c r="B82" s="20"/>
      <c r="C82" s="44"/>
      <c r="D82" s="44"/>
      <c r="E82" s="20"/>
      <c r="F82" s="21"/>
      <c r="G82" s="21"/>
      <c r="H82" s="20"/>
      <c r="I82" s="20"/>
      <c r="J82" s="20"/>
      <c r="K82" s="21"/>
      <c r="L82" s="22"/>
      <c r="M82" s="22"/>
      <c r="N82" s="23" t="str">
        <f t="shared" ca="1" si="6"/>
        <v/>
      </c>
      <c r="O82" s="20"/>
      <c r="P82" s="20"/>
      <c r="Q82" s="24"/>
      <c r="R82" s="24"/>
      <c r="S82" s="23" t="str">
        <f t="shared" si="7"/>
        <v/>
      </c>
      <c r="T82" s="25" t="str">
        <f t="shared" si="8"/>
        <v/>
      </c>
      <c r="U82" s="26"/>
      <c r="V82" s="20"/>
      <c r="W82" s="27" t="str">
        <f t="shared" si="9"/>
        <v/>
      </c>
      <c r="X82" s="22"/>
      <c r="Y82" s="23" t="str">
        <f t="shared" ca="1" si="10"/>
        <v/>
      </c>
      <c r="Z82" s="20"/>
      <c r="AA82" s="28" t="str">
        <f>IF($F82="","",IF($M82="","Missing expiry",IF($N82&lt;0,"Expired",IF($N82&lt;=Settings!$B$2,"Urgent",IF($N82&lt;=Settings!$B$3,"Review","Active")))))</f>
        <v/>
      </c>
      <c r="AB82" s="28" t="str">
        <f>IF($F82="","",IF($X82="","",IF($Y82&lt;0,"Past EOL",IF($Y82&lt;=Settings!$B$4,"EOL soon","Supported"))))</f>
        <v/>
      </c>
      <c r="AC82" s="28" t="str">
        <f t="shared" si="11"/>
        <v/>
      </c>
      <c r="AD82" s="20"/>
      <c r="AE82" s="22"/>
      <c r="AF82" s="21"/>
      <c r="AG82" s="21"/>
    </row>
    <row r="83" spans="1:33">
      <c r="A83" s="20"/>
      <c r="B83" s="20"/>
      <c r="C83" s="44"/>
      <c r="D83" s="44"/>
      <c r="E83" s="20"/>
      <c r="F83" s="21"/>
      <c r="G83" s="21"/>
      <c r="H83" s="20"/>
      <c r="I83" s="20"/>
      <c r="J83" s="20"/>
      <c r="K83" s="21"/>
      <c r="L83" s="22"/>
      <c r="M83" s="22"/>
      <c r="N83" s="23" t="str">
        <f t="shared" ca="1" si="6"/>
        <v/>
      </c>
      <c r="O83" s="20"/>
      <c r="P83" s="20"/>
      <c r="Q83" s="24"/>
      <c r="R83" s="24"/>
      <c r="S83" s="23" t="str">
        <f t="shared" si="7"/>
        <v/>
      </c>
      <c r="T83" s="25" t="str">
        <f t="shared" si="8"/>
        <v/>
      </c>
      <c r="U83" s="26"/>
      <c r="V83" s="20"/>
      <c r="W83" s="27" t="str">
        <f t="shared" si="9"/>
        <v/>
      </c>
      <c r="X83" s="22"/>
      <c r="Y83" s="23" t="str">
        <f t="shared" ca="1" si="10"/>
        <v/>
      </c>
      <c r="Z83" s="20"/>
      <c r="AA83" s="28" t="str">
        <f>IF($F83="","",IF($M83="","Missing expiry",IF($N83&lt;0,"Expired",IF($N83&lt;=Settings!$B$2,"Urgent",IF($N83&lt;=Settings!$B$3,"Review","Active")))))</f>
        <v/>
      </c>
      <c r="AB83" s="28" t="str">
        <f>IF($F83="","",IF($X83="","",IF($Y83&lt;0,"Past EOL",IF($Y83&lt;=Settings!$B$4,"EOL soon","Supported"))))</f>
        <v/>
      </c>
      <c r="AC83" s="28" t="str">
        <f t="shared" si="11"/>
        <v/>
      </c>
      <c r="AD83" s="20"/>
      <c r="AE83" s="22"/>
      <c r="AF83" s="21"/>
      <c r="AG83" s="21"/>
    </row>
    <row r="84" spans="1:33">
      <c r="A84" s="20"/>
      <c r="B84" s="20"/>
      <c r="C84" s="44"/>
      <c r="D84" s="44"/>
      <c r="E84" s="20"/>
      <c r="F84" s="21"/>
      <c r="G84" s="21"/>
      <c r="H84" s="20"/>
      <c r="I84" s="20"/>
      <c r="J84" s="20"/>
      <c r="K84" s="21"/>
      <c r="L84" s="22"/>
      <c r="M84" s="22"/>
      <c r="N84" s="23" t="str">
        <f t="shared" ca="1" si="6"/>
        <v/>
      </c>
      <c r="O84" s="20"/>
      <c r="P84" s="20"/>
      <c r="Q84" s="24"/>
      <c r="R84" s="24"/>
      <c r="S84" s="23" t="str">
        <f t="shared" si="7"/>
        <v/>
      </c>
      <c r="T84" s="25" t="str">
        <f t="shared" si="8"/>
        <v/>
      </c>
      <c r="U84" s="26"/>
      <c r="V84" s="20"/>
      <c r="W84" s="27" t="str">
        <f t="shared" si="9"/>
        <v/>
      </c>
      <c r="X84" s="22"/>
      <c r="Y84" s="23" t="str">
        <f t="shared" ca="1" si="10"/>
        <v/>
      </c>
      <c r="Z84" s="20"/>
      <c r="AA84" s="28" t="str">
        <f>IF($F84="","",IF($M84="","Missing expiry",IF($N84&lt;0,"Expired",IF($N84&lt;=Settings!$B$2,"Urgent",IF($N84&lt;=Settings!$B$3,"Review","Active")))))</f>
        <v/>
      </c>
      <c r="AB84" s="28" t="str">
        <f>IF($F84="","",IF($X84="","",IF($Y84&lt;0,"Past EOL",IF($Y84&lt;=Settings!$B$4,"EOL soon","Supported"))))</f>
        <v/>
      </c>
      <c r="AC84" s="28" t="str">
        <f t="shared" si="11"/>
        <v/>
      </c>
      <c r="AD84" s="20"/>
      <c r="AE84" s="22"/>
      <c r="AF84" s="21"/>
      <c r="AG84" s="21"/>
    </row>
    <row r="85" spans="1:33">
      <c r="A85" s="20"/>
      <c r="B85" s="20"/>
      <c r="C85" s="44"/>
      <c r="D85" s="44"/>
      <c r="E85" s="20"/>
      <c r="F85" s="21"/>
      <c r="G85" s="21"/>
      <c r="H85" s="20"/>
      <c r="I85" s="20"/>
      <c r="J85" s="20"/>
      <c r="K85" s="21"/>
      <c r="L85" s="22"/>
      <c r="M85" s="22"/>
      <c r="N85" s="23" t="str">
        <f t="shared" ca="1" si="6"/>
        <v/>
      </c>
      <c r="O85" s="20"/>
      <c r="P85" s="20"/>
      <c r="Q85" s="24"/>
      <c r="R85" s="24"/>
      <c r="S85" s="23" t="str">
        <f t="shared" si="7"/>
        <v/>
      </c>
      <c r="T85" s="25" t="str">
        <f t="shared" si="8"/>
        <v/>
      </c>
      <c r="U85" s="26"/>
      <c r="V85" s="20"/>
      <c r="W85" s="27" t="str">
        <f t="shared" si="9"/>
        <v/>
      </c>
      <c r="X85" s="22"/>
      <c r="Y85" s="23" t="str">
        <f t="shared" ca="1" si="10"/>
        <v/>
      </c>
      <c r="Z85" s="20"/>
      <c r="AA85" s="28" t="str">
        <f>IF($F85="","",IF($M85="","Missing expiry",IF($N85&lt;0,"Expired",IF($N85&lt;=Settings!$B$2,"Urgent",IF($N85&lt;=Settings!$B$3,"Review","Active")))))</f>
        <v/>
      </c>
      <c r="AB85" s="28" t="str">
        <f>IF($F85="","",IF($X85="","",IF($Y85&lt;0,"Past EOL",IF($Y85&lt;=Settings!$B$4,"EOL soon","Supported"))))</f>
        <v/>
      </c>
      <c r="AC85" s="28" t="str">
        <f t="shared" si="11"/>
        <v/>
      </c>
      <c r="AD85" s="20"/>
      <c r="AE85" s="22"/>
      <c r="AF85" s="21"/>
      <c r="AG85" s="21"/>
    </row>
    <row r="86" spans="1:33">
      <c r="A86" s="20"/>
      <c r="B86" s="20"/>
      <c r="C86" s="44"/>
      <c r="D86" s="44"/>
      <c r="E86" s="20"/>
      <c r="F86" s="21"/>
      <c r="G86" s="21"/>
      <c r="H86" s="20"/>
      <c r="I86" s="20"/>
      <c r="J86" s="20"/>
      <c r="K86" s="21"/>
      <c r="L86" s="22"/>
      <c r="M86" s="22"/>
      <c r="N86" s="23" t="str">
        <f t="shared" ca="1" si="6"/>
        <v/>
      </c>
      <c r="O86" s="20"/>
      <c r="P86" s="20"/>
      <c r="Q86" s="24"/>
      <c r="R86" s="24"/>
      <c r="S86" s="23" t="str">
        <f t="shared" si="7"/>
        <v/>
      </c>
      <c r="T86" s="25" t="str">
        <f t="shared" si="8"/>
        <v/>
      </c>
      <c r="U86" s="26"/>
      <c r="V86" s="20"/>
      <c r="W86" s="27" t="str">
        <f t="shared" si="9"/>
        <v/>
      </c>
      <c r="X86" s="22"/>
      <c r="Y86" s="23" t="str">
        <f t="shared" ca="1" si="10"/>
        <v/>
      </c>
      <c r="Z86" s="20"/>
      <c r="AA86" s="28" t="str">
        <f>IF($F86="","",IF($M86="","Missing expiry",IF($N86&lt;0,"Expired",IF($N86&lt;=Settings!$B$2,"Urgent",IF($N86&lt;=Settings!$B$3,"Review","Active")))))</f>
        <v/>
      </c>
      <c r="AB86" s="28" t="str">
        <f>IF($F86="","",IF($X86="","",IF($Y86&lt;0,"Past EOL",IF($Y86&lt;=Settings!$B$4,"EOL soon","Supported"))))</f>
        <v/>
      </c>
      <c r="AC86" s="28" t="str">
        <f t="shared" si="11"/>
        <v/>
      </c>
      <c r="AD86" s="20"/>
      <c r="AE86" s="22"/>
      <c r="AF86" s="21"/>
      <c r="AG86" s="21"/>
    </row>
    <row r="87" spans="1:33">
      <c r="A87" s="20"/>
      <c r="B87" s="20"/>
      <c r="C87" s="44"/>
      <c r="D87" s="44"/>
      <c r="E87" s="20"/>
      <c r="F87" s="21"/>
      <c r="G87" s="21"/>
      <c r="H87" s="20"/>
      <c r="I87" s="20"/>
      <c r="J87" s="20"/>
      <c r="K87" s="21"/>
      <c r="L87" s="22"/>
      <c r="M87" s="22"/>
      <c r="N87" s="23" t="str">
        <f t="shared" ca="1" si="6"/>
        <v/>
      </c>
      <c r="O87" s="20"/>
      <c r="P87" s="20"/>
      <c r="Q87" s="24"/>
      <c r="R87" s="24"/>
      <c r="S87" s="23" t="str">
        <f t="shared" si="7"/>
        <v/>
      </c>
      <c r="T87" s="25" t="str">
        <f t="shared" si="8"/>
        <v/>
      </c>
      <c r="U87" s="26"/>
      <c r="V87" s="20"/>
      <c r="W87" s="27" t="str">
        <f t="shared" si="9"/>
        <v/>
      </c>
      <c r="X87" s="22"/>
      <c r="Y87" s="23" t="str">
        <f t="shared" ca="1" si="10"/>
        <v/>
      </c>
      <c r="Z87" s="20"/>
      <c r="AA87" s="28" t="str">
        <f>IF($F87="","",IF($M87="","Missing expiry",IF($N87&lt;0,"Expired",IF($N87&lt;=Settings!$B$2,"Urgent",IF($N87&lt;=Settings!$B$3,"Review","Active")))))</f>
        <v/>
      </c>
      <c r="AB87" s="28" t="str">
        <f>IF($F87="","",IF($X87="","",IF($Y87&lt;0,"Past EOL",IF($Y87&lt;=Settings!$B$4,"EOL soon","Supported"))))</f>
        <v/>
      </c>
      <c r="AC87" s="28" t="str">
        <f t="shared" si="11"/>
        <v/>
      </c>
      <c r="AD87" s="20"/>
      <c r="AE87" s="22"/>
      <c r="AF87" s="21"/>
      <c r="AG87" s="21"/>
    </row>
    <row r="88" spans="1:33">
      <c r="A88" s="20"/>
      <c r="B88" s="20"/>
      <c r="C88" s="44"/>
      <c r="D88" s="44"/>
      <c r="E88" s="20"/>
      <c r="F88" s="21"/>
      <c r="G88" s="21"/>
      <c r="H88" s="20"/>
      <c r="I88" s="20"/>
      <c r="J88" s="20"/>
      <c r="K88" s="21"/>
      <c r="L88" s="22"/>
      <c r="M88" s="22"/>
      <c r="N88" s="23" t="str">
        <f t="shared" ca="1" si="6"/>
        <v/>
      </c>
      <c r="O88" s="20"/>
      <c r="P88" s="20"/>
      <c r="Q88" s="24"/>
      <c r="R88" s="24"/>
      <c r="S88" s="23" t="str">
        <f t="shared" si="7"/>
        <v/>
      </c>
      <c r="T88" s="25" t="str">
        <f t="shared" si="8"/>
        <v/>
      </c>
      <c r="U88" s="26"/>
      <c r="V88" s="20"/>
      <c r="W88" s="27" t="str">
        <f t="shared" si="9"/>
        <v/>
      </c>
      <c r="X88" s="22"/>
      <c r="Y88" s="23" t="str">
        <f t="shared" ca="1" si="10"/>
        <v/>
      </c>
      <c r="Z88" s="20"/>
      <c r="AA88" s="28" t="str">
        <f>IF($F88="","",IF($M88="","Missing expiry",IF($N88&lt;0,"Expired",IF($N88&lt;=Settings!$B$2,"Urgent",IF($N88&lt;=Settings!$B$3,"Review","Active")))))</f>
        <v/>
      </c>
      <c r="AB88" s="28" t="str">
        <f>IF($F88="","",IF($X88="","",IF($Y88&lt;0,"Past EOL",IF($Y88&lt;=Settings!$B$4,"EOL soon","Supported"))))</f>
        <v/>
      </c>
      <c r="AC88" s="28" t="str">
        <f t="shared" si="11"/>
        <v/>
      </c>
      <c r="AD88" s="20"/>
      <c r="AE88" s="22"/>
      <c r="AF88" s="21"/>
      <c r="AG88" s="21"/>
    </row>
    <row r="89" spans="1:33">
      <c r="A89" s="20"/>
      <c r="B89" s="20"/>
      <c r="C89" s="44"/>
      <c r="D89" s="44"/>
      <c r="E89" s="20"/>
      <c r="F89" s="21"/>
      <c r="G89" s="21"/>
      <c r="H89" s="20"/>
      <c r="I89" s="20"/>
      <c r="J89" s="20"/>
      <c r="K89" s="21"/>
      <c r="L89" s="22"/>
      <c r="M89" s="22"/>
      <c r="N89" s="23" t="str">
        <f t="shared" ca="1" si="6"/>
        <v/>
      </c>
      <c r="O89" s="20"/>
      <c r="P89" s="20"/>
      <c r="Q89" s="24"/>
      <c r="R89" s="24"/>
      <c r="S89" s="23" t="str">
        <f t="shared" si="7"/>
        <v/>
      </c>
      <c r="T89" s="25" t="str">
        <f t="shared" si="8"/>
        <v/>
      </c>
      <c r="U89" s="26"/>
      <c r="V89" s="20"/>
      <c r="W89" s="27" t="str">
        <f t="shared" si="9"/>
        <v/>
      </c>
      <c r="X89" s="22"/>
      <c r="Y89" s="23" t="str">
        <f t="shared" ca="1" si="10"/>
        <v/>
      </c>
      <c r="Z89" s="20"/>
      <c r="AA89" s="28" t="str">
        <f>IF($F89="","",IF($M89="","Missing expiry",IF($N89&lt;0,"Expired",IF($N89&lt;=Settings!$B$2,"Urgent",IF($N89&lt;=Settings!$B$3,"Review","Active")))))</f>
        <v/>
      </c>
      <c r="AB89" s="28" t="str">
        <f>IF($F89="","",IF($X89="","",IF($Y89&lt;0,"Past EOL",IF($Y89&lt;=Settings!$B$4,"EOL soon","Supported"))))</f>
        <v/>
      </c>
      <c r="AC89" s="28" t="str">
        <f t="shared" si="11"/>
        <v/>
      </c>
      <c r="AD89" s="20"/>
      <c r="AE89" s="22"/>
      <c r="AF89" s="21"/>
      <c r="AG89" s="21"/>
    </row>
    <row r="90" spans="1:33">
      <c r="A90" s="20"/>
      <c r="B90" s="20"/>
      <c r="C90" s="44"/>
      <c r="D90" s="44"/>
      <c r="E90" s="20"/>
      <c r="F90" s="21"/>
      <c r="G90" s="21"/>
      <c r="H90" s="20"/>
      <c r="I90" s="20"/>
      <c r="J90" s="20"/>
      <c r="K90" s="21"/>
      <c r="L90" s="22"/>
      <c r="M90" s="22"/>
      <c r="N90" s="23" t="str">
        <f t="shared" ca="1" si="6"/>
        <v/>
      </c>
      <c r="O90" s="20"/>
      <c r="P90" s="20"/>
      <c r="Q90" s="24"/>
      <c r="R90" s="24"/>
      <c r="S90" s="23" t="str">
        <f t="shared" si="7"/>
        <v/>
      </c>
      <c r="T90" s="25" t="str">
        <f t="shared" si="8"/>
        <v/>
      </c>
      <c r="U90" s="26"/>
      <c r="V90" s="20"/>
      <c r="W90" s="27" t="str">
        <f t="shared" si="9"/>
        <v/>
      </c>
      <c r="X90" s="22"/>
      <c r="Y90" s="23" t="str">
        <f t="shared" ca="1" si="10"/>
        <v/>
      </c>
      <c r="Z90" s="20"/>
      <c r="AA90" s="28" t="str">
        <f>IF($F90="","",IF($M90="","Missing expiry",IF($N90&lt;0,"Expired",IF($N90&lt;=Settings!$B$2,"Urgent",IF($N90&lt;=Settings!$B$3,"Review","Active")))))</f>
        <v/>
      </c>
      <c r="AB90" s="28" t="str">
        <f>IF($F90="","",IF($X90="","",IF($Y90&lt;0,"Past EOL",IF($Y90&lt;=Settings!$B$4,"EOL soon","Supported"))))</f>
        <v/>
      </c>
      <c r="AC90" s="28" t="str">
        <f t="shared" si="11"/>
        <v/>
      </c>
      <c r="AD90" s="20"/>
      <c r="AE90" s="22"/>
      <c r="AF90" s="21"/>
      <c r="AG90" s="21"/>
    </row>
    <row r="91" spans="1:33">
      <c r="A91" s="20"/>
      <c r="B91" s="20"/>
      <c r="C91" s="44"/>
      <c r="D91" s="44"/>
      <c r="E91" s="20"/>
      <c r="F91" s="21"/>
      <c r="G91" s="21"/>
      <c r="H91" s="20"/>
      <c r="I91" s="20"/>
      <c r="J91" s="20"/>
      <c r="K91" s="21"/>
      <c r="L91" s="22"/>
      <c r="M91" s="22"/>
      <c r="N91" s="23" t="str">
        <f t="shared" ca="1" si="6"/>
        <v/>
      </c>
      <c r="O91" s="20"/>
      <c r="P91" s="20"/>
      <c r="Q91" s="24"/>
      <c r="R91" s="24"/>
      <c r="S91" s="23" t="str">
        <f t="shared" si="7"/>
        <v/>
      </c>
      <c r="T91" s="25" t="str">
        <f t="shared" si="8"/>
        <v/>
      </c>
      <c r="U91" s="26"/>
      <c r="V91" s="20"/>
      <c r="W91" s="27" t="str">
        <f t="shared" si="9"/>
        <v/>
      </c>
      <c r="X91" s="22"/>
      <c r="Y91" s="23" t="str">
        <f t="shared" ca="1" si="10"/>
        <v/>
      </c>
      <c r="Z91" s="20"/>
      <c r="AA91" s="28" t="str">
        <f>IF($F91="","",IF($M91="","Missing expiry",IF($N91&lt;0,"Expired",IF($N91&lt;=Settings!$B$2,"Urgent",IF($N91&lt;=Settings!$B$3,"Review","Active")))))</f>
        <v/>
      </c>
      <c r="AB91" s="28" t="str">
        <f>IF($F91="","",IF($X91="","",IF($Y91&lt;0,"Past EOL",IF($Y91&lt;=Settings!$B$4,"EOL soon","Supported"))))</f>
        <v/>
      </c>
      <c r="AC91" s="28" t="str">
        <f t="shared" si="11"/>
        <v/>
      </c>
      <c r="AD91" s="20"/>
      <c r="AE91" s="22"/>
      <c r="AF91" s="21"/>
      <c r="AG91" s="21"/>
    </row>
    <row r="92" spans="1:33">
      <c r="A92" s="20"/>
      <c r="B92" s="20"/>
      <c r="C92" s="44"/>
      <c r="D92" s="44"/>
      <c r="E92" s="20"/>
      <c r="F92" s="21"/>
      <c r="G92" s="21"/>
      <c r="H92" s="20"/>
      <c r="I92" s="20"/>
      <c r="J92" s="20"/>
      <c r="K92" s="21"/>
      <c r="L92" s="22"/>
      <c r="M92" s="22"/>
      <c r="N92" s="23" t="str">
        <f t="shared" ca="1" si="6"/>
        <v/>
      </c>
      <c r="O92" s="20"/>
      <c r="P92" s="20"/>
      <c r="Q92" s="24"/>
      <c r="R92" s="24"/>
      <c r="S92" s="23" t="str">
        <f t="shared" si="7"/>
        <v/>
      </c>
      <c r="T92" s="25" t="str">
        <f t="shared" si="8"/>
        <v/>
      </c>
      <c r="U92" s="26"/>
      <c r="V92" s="20"/>
      <c r="W92" s="27" t="str">
        <f t="shared" si="9"/>
        <v/>
      </c>
      <c r="X92" s="22"/>
      <c r="Y92" s="23" t="str">
        <f t="shared" ca="1" si="10"/>
        <v/>
      </c>
      <c r="Z92" s="20"/>
      <c r="AA92" s="28" t="str">
        <f>IF($F92="","",IF($M92="","Missing expiry",IF($N92&lt;0,"Expired",IF($N92&lt;=Settings!$B$2,"Urgent",IF($N92&lt;=Settings!$B$3,"Review","Active")))))</f>
        <v/>
      </c>
      <c r="AB92" s="28" t="str">
        <f>IF($F92="","",IF($X92="","",IF($Y92&lt;0,"Past EOL",IF($Y92&lt;=Settings!$B$4,"EOL soon","Supported"))))</f>
        <v/>
      </c>
      <c r="AC92" s="28" t="str">
        <f t="shared" si="11"/>
        <v/>
      </c>
      <c r="AD92" s="20"/>
      <c r="AE92" s="22"/>
      <c r="AF92" s="21"/>
      <c r="AG92" s="21"/>
    </row>
    <row r="93" spans="1:33">
      <c r="A93" s="20"/>
      <c r="B93" s="20"/>
      <c r="C93" s="44"/>
      <c r="D93" s="44"/>
      <c r="E93" s="20"/>
      <c r="F93" s="21"/>
      <c r="G93" s="21"/>
      <c r="H93" s="20"/>
      <c r="I93" s="20"/>
      <c r="J93" s="20"/>
      <c r="K93" s="21"/>
      <c r="L93" s="22"/>
      <c r="M93" s="22"/>
      <c r="N93" s="23" t="str">
        <f t="shared" ca="1" si="6"/>
        <v/>
      </c>
      <c r="O93" s="20"/>
      <c r="P93" s="20"/>
      <c r="Q93" s="24"/>
      <c r="R93" s="24"/>
      <c r="S93" s="23" t="str">
        <f t="shared" si="7"/>
        <v/>
      </c>
      <c r="T93" s="25" t="str">
        <f t="shared" si="8"/>
        <v/>
      </c>
      <c r="U93" s="26"/>
      <c r="V93" s="20"/>
      <c r="W93" s="27" t="str">
        <f t="shared" si="9"/>
        <v/>
      </c>
      <c r="X93" s="22"/>
      <c r="Y93" s="23" t="str">
        <f t="shared" ca="1" si="10"/>
        <v/>
      </c>
      <c r="Z93" s="20"/>
      <c r="AA93" s="28" t="str">
        <f>IF($F93="","",IF($M93="","Missing expiry",IF($N93&lt;0,"Expired",IF($N93&lt;=Settings!$B$2,"Urgent",IF($N93&lt;=Settings!$B$3,"Review","Active")))))</f>
        <v/>
      </c>
      <c r="AB93" s="28" t="str">
        <f>IF($F93="","",IF($X93="","",IF($Y93&lt;0,"Past EOL",IF($Y93&lt;=Settings!$B$4,"EOL soon","Supported"))))</f>
        <v/>
      </c>
      <c r="AC93" s="28" t="str">
        <f t="shared" si="11"/>
        <v/>
      </c>
      <c r="AD93" s="20"/>
      <c r="AE93" s="22"/>
      <c r="AF93" s="21"/>
      <c r="AG93" s="21"/>
    </row>
    <row r="94" spans="1:33">
      <c r="A94" s="20"/>
      <c r="B94" s="20"/>
      <c r="C94" s="44"/>
      <c r="D94" s="44"/>
      <c r="E94" s="20"/>
      <c r="F94" s="21"/>
      <c r="G94" s="21"/>
      <c r="H94" s="20"/>
      <c r="I94" s="20"/>
      <c r="J94" s="20"/>
      <c r="K94" s="21"/>
      <c r="L94" s="22"/>
      <c r="M94" s="22"/>
      <c r="N94" s="23" t="str">
        <f t="shared" ca="1" si="6"/>
        <v/>
      </c>
      <c r="O94" s="20"/>
      <c r="P94" s="20"/>
      <c r="Q94" s="24"/>
      <c r="R94" s="24"/>
      <c r="S94" s="23" t="str">
        <f t="shared" si="7"/>
        <v/>
      </c>
      <c r="T94" s="25" t="str">
        <f t="shared" si="8"/>
        <v/>
      </c>
      <c r="U94" s="26"/>
      <c r="V94" s="20"/>
      <c r="W94" s="27" t="str">
        <f t="shared" si="9"/>
        <v/>
      </c>
      <c r="X94" s="22"/>
      <c r="Y94" s="23" t="str">
        <f t="shared" ca="1" si="10"/>
        <v/>
      </c>
      <c r="Z94" s="20"/>
      <c r="AA94" s="28" t="str">
        <f>IF($F94="","",IF($M94="","Missing expiry",IF($N94&lt;0,"Expired",IF($N94&lt;=Settings!$B$2,"Urgent",IF($N94&lt;=Settings!$B$3,"Review","Active")))))</f>
        <v/>
      </c>
      <c r="AB94" s="28" t="str">
        <f>IF($F94="","",IF($X94="","",IF($Y94&lt;0,"Past EOL",IF($Y94&lt;=Settings!$B$4,"EOL soon","Supported"))))</f>
        <v/>
      </c>
      <c r="AC94" s="28" t="str">
        <f t="shared" si="11"/>
        <v/>
      </c>
      <c r="AD94" s="20"/>
      <c r="AE94" s="22"/>
      <c r="AF94" s="21"/>
      <c r="AG94" s="21"/>
    </row>
    <row r="95" spans="1:33">
      <c r="A95" s="20"/>
      <c r="B95" s="20"/>
      <c r="C95" s="44"/>
      <c r="D95" s="44"/>
      <c r="E95" s="20"/>
      <c r="F95" s="21"/>
      <c r="G95" s="21"/>
      <c r="H95" s="20"/>
      <c r="I95" s="20"/>
      <c r="J95" s="20"/>
      <c r="K95" s="21"/>
      <c r="L95" s="22"/>
      <c r="M95" s="22"/>
      <c r="N95" s="23" t="str">
        <f t="shared" ca="1" si="6"/>
        <v/>
      </c>
      <c r="O95" s="20"/>
      <c r="P95" s="20"/>
      <c r="Q95" s="24"/>
      <c r="R95" s="24"/>
      <c r="S95" s="23" t="str">
        <f t="shared" si="7"/>
        <v/>
      </c>
      <c r="T95" s="25" t="str">
        <f t="shared" si="8"/>
        <v/>
      </c>
      <c r="U95" s="26"/>
      <c r="V95" s="20"/>
      <c r="W95" s="27" t="str">
        <f t="shared" si="9"/>
        <v/>
      </c>
      <c r="X95" s="22"/>
      <c r="Y95" s="23" t="str">
        <f t="shared" ca="1" si="10"/>
        <v/>
      </c>
      <c r="Z95" s="20"/>
      <c r="AA95" s="28" t="str">
        <f>IF($F95="","",IF($M95="","Missing expiry",IF($N95&lt;0,"Expired",IF($N95&lt;=Settings!$B$2,"Urgent",IF($N95&lt;=Settings!$B$3,"Review","Active")))))</f>
        <v/>
      </c>
      <c r="AB95" s="28" t="str">
        <f>IF($F95="","",IF($X95="","",IF($Y95&lt;0,"Past EOL",IF($Y95&lt;=Settings!$B$4,"EOL soon","Supported"))))</f>
        <v/>
      </c>
      <c r="AC95" s="28" t="str">
        <f t="shared" si="11"/>
        <v/>
      </c>
      <c r="AD95" s="20"/>
      <c r="AE95" s="22"/>
      <c r="AF95" s="21"/>
      <c r="AG95" s="21"/>
    </row>
    <row r="96" spans="1:33">
      <c r="A96" s="20"/>
      <c r="B96" s="20"/>
      <c r="C96" s="44"/>
      <c r="D96" s="44"/>
      <c r="E96" s="20"/>
      <c r="F96" s="21"/>
      <c r="G96" s="21"/>
      <c r="H96" s="20"/>
      <c r="I96" s="20"/>
      <c r="J96" s="20"/>
      <c r="K96" s="21"/>
      <c r="L96" s="22"/>
      <c r="M96" s="22"/>
      <c r="N96" s="23" t="str">
        <f t="shared" ca="1" si="6"/>
        <v/>
      </c>
      <c r="O96" s="20"/>
      <c r="P96" s="20"/>
      <c r="Q96" s="24"/>
      <c r="R96" s="24"/>
      <c r="S96" s="23" t="str">
        <f t="shared" si="7"/>
        <v/>
      </c>
      <c r="T96" s="25" t="str">
        <f t="shared" si="8"/>
        <v/>
      </c>
      <c r="U96" s="26"/>
      <c r="V96" s="20"/>
      <c r="W96" s="27" t="str">
        <f t="shared" si="9"/>
        <v/>
      </c>
      <c r="X96" s="22"/>
      <c r="Y96" s="23" t="str">
        <f t="shared" ca="1" si="10"/>
        <v/>
      </c>
      <c r="Z96" s="20"/>
      <c r="AA96" s="28" t="str">
        <f>IF($F96="","",IF($M96="","Missing expiry",IF($N96&lt;0,"Expired",IF($N96&lt;=Settings!$B$2,"Urgent",IF($N96&lt;=Settings!$B$3,"Review","Active")))))</f>
        <v/>
      </c>
      <c r="AB96" s="28" t="str">
        <f>IF($F96="","",IF($X96="","",IF($Y96&lt;0,"Past EOL",IF($Y96&lt;=Settings!$B$4,"EOL soon","Supported"))))</f>
        <v/>
      </c>
      <c r="AC96" s="28" t="str">
        <f t="shared" si="11"/>
        <v/>
      </c>
      <c r="AD96" s="20"/>
      <c r="AE96" s="22"/>
      <c r="AF96" s="21"/>
      <c r="AG96" s="21"/>
    </row>
    <row r="97" spans="1:33">
      <c r="A97" s="20"/>
      <c r="B97" s="20"/>
      <c r="C97" s="44"/>
      <c r="D97" s="44"/>
      <c r="E97" s="20"/>
      <c r="F97" s="21"/>
      <c r="G97" s="21"/>
      <c r="H97" s="20"/>
      <c r="I97" s="20"/>
      <c r="J97" s="20"/>
      <c r="K97" s="21"/>
      <c r="L97" s="22"/>
      <c r="M97" s="22"/>
      <c r="N97" s="23" t="str">
        <f t="shared" ca="1" si="6"/>
        <v/>
      </c>
      <c r="O97" s="20"/>
      <c r="P97" s="20"/>
      <c r="Q97" s="24"/>
      <c r="R97" s="24"/>
      <c r="S97" s="23" t="str">
        <f t="shared" si="7"/>
        <v/>
      </c>
      <c r="T97" s="25" t="str">
        <f t="shared" si="8"/>
        <v/>
      </c>
      <c r="U97" s="26"/>
      <c r="V97" s="20"/>
      <c r="W97" s="27" t="str">
        <f t="shared" si="9"/>
        <v/>
      </c>
      <c r="X97" s="22"/>
      <c r="Y97" s="23" t="str">
        <f t="shared" ca="1" si="10"/>
        <v/>
      </c>
      <c r="Z97" s="20"/>
      <c r="AA97" s="28" t="str">
        <f>IF($F97="","",IF($M97="","Missing expiry",IF($N97&lt;0,"Expired",IF($N97&lt;=Settings!$B$2,"Urgent",IF($N97&lt;=Settings!$B$3,"Review","Active")))))</f>
        <v/>
      </c>
      <c r="AB97" s="28" t="str">
        <f>IF($F97="","",IF($X97="","",IF($Y97&lt;0,"Past EOL",IF($Y97&lt;=Settings!$B$4,"EOL soon","Supported"))))</f>
        <v/>
      </c>
      <c r="AC97" s="28" t="str">
        <f t="shared" si="11"/>
        <v/>
      </c>
      <c r="AD97" s="20"/>
      <c r="AE97" s="22"/>
      <c r="AF97" s="21"/>
      <c r="AG97" s="21"/>
    </row>
    <row r="98" spans="1:33">
      <c r="A98" s="20"/>
      <c r="B98" s="20"/>
      <c r="C98" s="44"/>
      <c r="D98" s="44"/>
      <c r="E98" s="20"/>
      <c r="F98" s="21"/>
      <c r="G98" s="21"/>
      <c r="H98" s="20"/>
      <c r="I98" s="20"/>
      <c r="J98" s="20"/>
      <c r="K98" s="21"/>
      <c r="L98" s="22"/>
      <c r="M98" s="22"/>
      <c r="N98" s="23" t="str">
        <f t="shared" ca="1" si="6"/>
        <v/>
      </c>
      <c r="O98" s="20"/>
      <c r="P98" s="20"/>
      <c r="Q98" s="24"/>
      <c r="R98" s="24"/>
      <c r="S98" s="23" t="str">
        <f t="shared" si="7"/>
        <v/>
      </c>
      <c r="T98" s="25" t="str">
        <f t="shared" si="8"/>
        <v/>
      </c>
      <c r="U98" s="26"/>
      <c r="V98" s="20"/>
      <c r="W98" s="27" t="str">
        <f t="shared" si="9"/>
        <v/>
      </c>
      <c r="X98" s="22"/>
      <c r="Y98" s="23" t="str">
        <f t="shared" ca="1" si="10"/>
        <v/>
      </c>
      <c r="Z98" s="20"/>
      <c r="AA98" s="28" t="str">
        <f>IF($F98="","",IF($M98="","Missing expiry",IF($N98&lt;0,"Expired",IF($N98&lt;=Settings!$B$2,"Urgent",IF($N98&lt;=Settings!$B$3,"Review","Active")))))</f>
        <v/>
      </c>
      <c r="AB98" s="28" t="str">
        <f>IF($F98="","",IF($X98="","",IF($Y98&lt;0,"Past EOL",IF($Y98&lt;=Settings!$B$4,"EOL soon","Supported"))))</f>
        <v/>
      </c>
      <c r="AC98" s="28" t="str">
        <f t="shared" si="11"/>
        <v/>
      </c>
      <c r="AD98" s="20"/>
      <c r="AE98" s="22"/>
      <c r="AF98" s="21"/>
      <c r="AG98" s="21"/>
    </row>
    <row r="99" spans="1:33">
      <c r="A99" s="20"/>
      <c r="B99" s="20"/>
      <c r="C99" s="44"/>
      <c r="D99" s="44"/>
      <c r="E99" s="20"/>
      <c r="F99" s="21"/>
      <c r="G99" s="21"/>
      <c r="H99" s="20"/>
      <c r="I99" s="20"/>
      <c r="J99" s="20"/>
      <c r="K99" s="21"/>
      <c r="L99" s="22"/>
      <c r="M99" s="22"/>
      <c r="N99" s="23" t="str">
        <f t="shared" ca="1" si="6"/>
        <v/>
      </c>
      <c r="O99" s="20"/>
      <c r="P99" s="20"/>
      <c r="Q99" s="24"/>
      <c r="R99" s="24"/>
      <c r="S99" s="23" t="str">
        <f t="shared" si="7"/>
        <v/>
      </c>
      <c r="T99" s="25" t="str">
        <f t="shared" si="8"/>
        <v/>
      </c>
      <c r="U99" s="26"/>
      <c r="V99" s="20"/>
      <c r="W99" s="27" t="str">
        <f t="shared" si="9"/>
        <v/>
      </c>
      <c r="X99" s="22"/>
      <c r="Y99" s="23" t="str">
        <f t="shared" ca="1" si="10"/>
        <v/>
      </c>
      <c r="Z99" s="20"/>
      <c r="AA99" s="28" t="str">
        <f>IF($F99="","",IF($M99="","Missing expiry",IF($N99&lt;0,"Expired",IF($N99&lt;=Settings!$B$2,"Urgent",IF($N99&lt;=Settings!$B$3,"Review","Active")))))</f>
        <v/>
      </c>
      <c r="AB99" s="28" t="str">
        <f>IF($F99="","",IF($X99="","",IF($Y99&lt;0,"Past EOL",IF($Y99&lt;=Settings!$B$4,"EOL soon","Supported"))))</f>
        <v/>
      </c>
      <c r="AC99" s="28" t="str">
        <f t="shared" si="11"/>
        <v/>
      </c>
      <c r="AD99" s="20"/>
      <c r="AE99" s="22"/>
      <c r="AF99" s="21"/>
      <c r="AG99" s="21"/>
    </row>
    <row r="100" spans="1:33">
      <c r="A100" s="20"/>
      <c r="B100" s="20"/>
      <c r="C100" s="44"/>
      <c r="D100" s="44"/>
      <c r="E100" s="20"/>
      <c r="F100" s="21"/>
      <c r="G100" s="21"/>
      <c r="H100" s="20"/>
      <c r="I100" s="20"/>
      <c r="J100" s="20"/>
      <c r="K100" s="21"/>
      <c r="L100" s="22"/>
      <c r="M100" s="22"/>
      <c r="N100" s="23" t="str">
        <f t="shared" ca="1" si="6"/>
        <v/>
      </c>
      <c r="O100" s="20"/>
      <c r="P100" s="20"/>
      <c r="Q100" s="24"/>
      <c r="R100" s="24"/>
      <c r="S100" s="23" t="str">
        <f t="shared" si="7"/>
        <v/>
      </c>
      <c r="T100" s="25" t="str">
        <f t="shared" si="8"/>
        <v/>
      </c>
      <c r="U100" s="26"/>
      <c r="V100" s="20"/>
      <c r="W100" s="27" t="str">
        <f t="shared" si="9"/>
        <v/>
      </c>
      <c r="X100" s="22"/>
      <c r="Y100" s="23" t="str">
        <f t="shared" ca="1" si="10"/>
        <v/>
      </c>
      <c r="Z100" s="20"/>
      <c r="AA100" s="28" t="str">
        <f>IF($F100="","",IF($M100="","Missing expiry",IF($N100&lt;0,"Expired",IF($N100&lt;=Settings!$B$2,"Urgent",IF($N100&lt;=Settings!$B$3,"Review","Active")))))</f>
        <v/>
      </c>
      <c r="AB100" s="28" t="str">
        <f>IF($F100="","",IF($X100="","",IF($Y100&lt;0,"Past EOL",IF($Y100&lt;=Settings!$B$4,"EOL soon","Supported"))))</f>
        <v/>
      </c>
      <c r="AC100" s="28" t="str">
        <f t="shared" si="11"/>
        <v/>
      </c>
      <c r="AD100" s="20"/>
      <c r="AE100" s="22"/>
      <c r="AF100" s="21"/>
      <c r="AG100" s="21"/>
    </row>
    <row r="101" spans="1:33">
      <c r="A101" s="20"/>
      <c r="B101" s="20"/>
      <c r="C101" s="44"/>
      <c r="D101" s="44"/>
      <c r="E101" s="20"/>
      <c r="F101" s="21"/>
      <c r="G101" s="21"/>
      <c r="H101" s="20"/>
      <c r="I101" s="20"/>
      <c r="J101" s="20"/>
      <c r="K101" s="21"/>
      <c r="L101" s="22"/>
      <c r="M101" s="22"/>
      <c r="N101" s="23" t="str">
        <f t="shared" ca="1" si="6"/>
        <v/>
      </c>
      <c r="O101" s="20"/>
      <c r="P101" s="20"/>
      <c r="Q101" s="24"/>
      <c r="R101" s="24"/>
      <c r="S101" s="23" t="str">
        <f t="shared" si="7"/>
        <v/>
      </c>
      <c r="T101" s="25" t="str">
        <f t="shared" si="8"/>
        <v/>
      </c>
      <c r="U101" s="26"/>
      <c r="V101" s="20"/>
      <c r="W101" s="27" t="str">
        <f t="shared" si="9"/>
        <v/>
      </c>
      <c r="X101" s="22"/>
      <c r="Y101" s="23" t="str">
        <f t="shared" ca="1" si="10"/>
        <v/>
      </c>
      <c r="Z101" s="20"/>
      <c r="AA101" s="28" t="str">
        <f>IF($F101="","",IF($M101="","Missing expiry",IF($N101&lt;0,"Expired",IF($N101&lt;=Settings!$B$2,"Urgent",IF($N101&lt;=Settings!$B$3,"Review","Active")))))</f>
        <v/>
      </c>
      <c r="AB101" s="28" t="str">
        <f>IF($F101="","",IF($X101="","",IF($Y101&lt;0,"Past EOL",IF($Y101&lt;=Settings!$B$4,"EOL soon","Supported"))))</f>
        <v/>
      </c>
      <c r="AC101" s="28" t="str">
        <f t="shared" si="11"/>
        <v/>
      </c>
      <c r="AD101" s="20"/>
      <c r="AE101" s="22"/>
      <c r="AF101" s="21"/>
      <c r="AG101" s="21"/>
    </row>
    <row r="102" spans="1:33">
      <c r="A102" s="20"/>
      <c r="B102" s="20"/>
      <c r="C102" s="44"/>
      <c r="D102" s="44"/>
      <c r="E102" s="20"/>
      <c r="F102" s="21"/>
      <c r="G102" s="21"/>
      <c r="H102" s="20"/>
      <c r="I102" s="20"/>
      <c r="J102" s="20"/>
      <c r="K102" s="21"/>
      <c r="L102" s="22"/>
      <c r="M102" s="22"/>
      <c r="N102" s="23" t="str">
        <f t="shared" ca="1" si="6"/>
        <v/>
      </c>
      <c r="O102" s="20"/>
      <c r="P102" s="20"/>
      <c r="Q102" s="24"/>
      <c r="R102" s="24"/>
      <c r="S102" s="23" t="str">
        <f t="shared" si="7"/>
        <v/>
      </c>
      <c r="T102" s="25" t="str">
        <f t="shared" si="8"/>
        <v/>
      </c>
      <c r="U102" s="26"/>
      <c r="V102" s="20"/>
      <c r="W102" s="27" t="str">
        <f t="shared" si="9"/>
        <v/>
      </c>
      <c r="X102" s="22"/>
      <c r="Y102" s="23" t="str">
        <f t="shared" ca="1" si="10"/>
        <v/>
      </c>
      <c r="Z102" s="20"/>
      <c r="AA102" s="28" t="str">
        <f>IF($F102="","",IF($M102="","Missing expiry",IF($N102&lt;0,"Expired",IF($N102&lt;=Settings!$B$2,"Urgent",IF($N102&lt;=Settings!$B$3,"Review","Active")))))</f>
        <v/>
      </c>
      <c r="AB102" s="28" t="str">
        <f>IF($F102="","",IF($X102="","",IF($Y102&lt;0,"Past EOL",IF($Y102&lt;=Settings!$B$4,"EOL soon","Supported"))))</f>
        <v/>
      </c>
      <c r="AC102" s="28" t="str">
        <f t="shared" si="11"/>
        <v/>
      </c>
      <c r="AD102" s="20"/>
      <c r="AE102" s="22"/>
      <c r="AF102" s="21"/>
      <c r="AG102" s="21"/>
    </row>
    <row r="103" spans="1:33">
      <c r="A103" s="20"/>
      <c r="B103" s="20"/>
      <c r="C103" s="44"/>
      <c r="D103" s="44"/>
      <c r="E103" s="20"/>
      <c r="F103" s="21"/>
      <c r="G103" s="21"/>
      <c r="H103" s="20"/>
      <c r="I103" s="20"/>
      <c r="J103" s="20"/>
      <c r="K103" s="21"/>
      <c r="L103" s="22"/>
      <c r="M103" s="22"/>
      <c r="N103" s="23" t="str">
        <f t="shared" ca="1" si="6"/>
        <v/>
      </c>
      <c r="O103" s="20"/>
      <c r="P103" s="20"/>
      <c r="Q103" s="24"/>
      <c r="R103" s="24"/>
      <c r="S103" s="23" t="str">
        <f t="shared" si="7"/>
        <v/>
      </c>
      <c r="T103" s="25" t="str">
        <f t="shared" si="8"/>
        <v/>
      </c>
      <c r="U103" s="26"/>
      <c r="V103" s="20"/>
      <c r="W103" s="27" t="str">
        <f t="shared" si="9"/>
        <v/>
      </c>
      <c r="X103" s="22"/>
      <c r="Y103" s="23" t="str">
        <f t="shared" ca="1" si="10"/>
        <v/>
      </c>
      <c r="Z103" s="20"/>
      <c r="AA103" s="28" t="str">
        <f>IF($F103="","",IF($M103="","Missing expiry",IF($N103&lt;0,"Expired",IF($N103&lt;=Settings!$B$2,"Urgent",IF($N103&lt;=Settings!$B$3,"Review","Active")))))</f>
        <v/>
      </c>
      <c r="AB103" s="28" t="str">
        <f>IF($F103="","",IF($X103="","",IF($Y103&lt;0,"Past EOL",IF($Y103&lt;=Settings!$B$4,"EOL soon","Supported"))))</f>
        <v/>
      </c>
      <c r="AC103" s="28" t="str">
        <f t="shared" si="11"/>
        <v/>
      </c>
      <c r="AD103" s="20"/>
      <c r="AE103" s="22"/>
      <c r="AF103" s="21"/>
      <c r="AG103" s="21"/>
    </row>
    <row r="104" spans="1:33">
      <c r="A104" s="20"/>
      <c r="B104" s="20"/>
      <c r="C104" s="44"/>
      <c r="D104" s="44"/>
      <c r="E104" s="20"/>
      <c r="F104" s="21"/>
      <c r="G104" s="21"/>
      <c r="H104" s="20"/>
      <c r="I104" s="20"/>
      <c r="J104" s="20"/>
      <c r="K104" s="21"/>
      <c r="L104" s="22"/>
      <c r="M104" s="22"/>
      <c r="N104" s="23" t="str">
        <f t="shared" ca="1" si="6"/>
        <v/>
      </c>
      <c r="O104" s="20"/>
      <c r="P104" s="20"/>
      <c r="Q104" s="24"/>
      <c r="R104" s="24"/>
      <c r="S104" s="23" t="str">
        <f t="shared" si="7"/>
        <v/>
      </c>
      <c r="T104" s="25" t="str">
        <f t="shared" si="8"/>
        <v/>
      </c>
      <c r="U104" s="26"/>
      <c r="V104" s="20"/>
      <c r="W104" s="27" t="str">
        <f t="shared" si="9"/>
        <v/>
      </c>
      <c r="X104" s="22"/>
      <c r="Y104" s="23" t="str">
        <f t="shared" ca="1" si="10"/>
        <v/>
      </c>
      <c r="Z104" s="20"/>
      <c r="AA104" s="28" t="str">
        <f>IF($F104="","",IF($M104="","Missing expiry",IF($N104&lt;0,"Expired",IF($N104&lt;=Settings!$B$2,"Urgent",IF($N104&lt;=Settings!$B$3,"Review","Active")))))</f>
        <v/>
      </c>
      <c r="AB104" s="28" t="str">
        <f>IF($F104="","",IF($X104="","",IF($Y104&lt;0,"Past EOL",IF($Y104&lt;=Settings!$B$4,"EOL soon","Supported"))))</f>
        <v/>
      </c>
      <c r="AC104" s="28" t="str">
        <f t="shared" si="11"/>
        <v/>
      </c>
      <c r="AD104" s="20"/>
      <c r="AE104" s="22"/>
      <c r="AF104" s="21"/>
      <c r="AG104" s="21"/>
    </row>
    <row r="105" spans="1:33">
      <c r="A105" s="20"/>
      <c r="B105" s="20"/>
      <c r="C105" s="44"/>
      <c r="D105" s="44"/>
      <c r="E105" s="20"/>
      <c r="F105" s="21"/>
      <c r="G105" s="21"/>
      <c r="H105" s="20"/>
      <c r="I105" s="20"/>
      <c r="J105" s="20"/>
      <c r="K105" s="21"/>
      <c r="L105" s="22"/>
      <c r="M105" s="22"/>
      <c r="N105" s="23" t="str">
        <f t="shared" ca="1" si="6"/>
        <v/>
      </c>
      <c r="O105" s="20"/>
      <c r="P105" s="20"/>
      <c r="Q105" s="24"/>
      <c r="R105" s="24"/>
      <c r="S105" s="23" t="str">
        <f t="shared" si="7"/>
        <v/>
      </c>
      <c r="T105" s="25" t="str">
        <f t="shared" si="8"/>
        <v/>
      </c>
      <c r="U105" s="26"/>
      <c r="V105" s="20"/>
      <c r="W105" s="27" t="str">
        <f t="shared" si="9"/>
        <v/>
      </c>
      <c r="X105" s="22"/>
      <c r="Y105" s="23" t="str">
        <f t="shared" ca="1" si="10"/>
        <v/>
      </c>
      <c r="Z105" s="20"/>
      <c r="AA105" s="28" t="str">
        <f>IF($F105="","",IF($M105="","Missing expiry",IF($N105&lt;0,"Expired",IF($N105&lt;=Settings!$B$2,"Urgent",IF($N105&lt;=Settings!$B$3,"Review","Active")))))</f>
        <v/>
      </c>
      <c r="AB105" s="28" t="str">
        <f>IF($F105="","",IF($X105="","",IF($Y105&lt;0,"Past EOL",IF($Y105&lt;=Settings!$B$4,"EOL soon","Supported"))))</f>
        <v/>
      </c>
      <c r="AC105" s="28" t="str">
        <f t="shared" si="11"/>
        <v/>
      </c>
      <c r="AD105" s="20"/>
      <c r="AE105" s="22"/>
      <c r="AF105" s="21"/>
      <c r="AG105" s="21"/>
    </row>
    <row r="106" spans="1:33">
      <c r="A106" s="20"/>
      <c r="B106" s="20"/>
      <c r="C106" s="44"/>
      <c r="D106" s="44"/>
      <c r="E106" s="20"/>
      <c r="F106" s="21"/>
      <c r="G106" s="21"/>
      <c r="H106" s="20"/>
      <c r="I106" s="20"/>
      <c r="J106" s="20"/>
      <c r="K106" s="21"/>
      <c r="L106" s="22"/>
      <c r="M106" s="22"/>
      <c r="N106" s="23" t="str">
        <f t="shared" ca="1" si="6"/>
        <v/>
      </c>
      <c r="O106" s="20"/>
      <c r="P106" s="20"/>
      <c r="Q106" s="24"/>
      <c r="R106" s="24"/>
      <c r="S106" s="23" t="str">
        <f t="shared" si="7"/>
        <v/>
      </c>
      <c r="T106" s="25" t="str">
        <f t="shared" si="8"/>
        <v/>
      </c>
      <c r="U106" s="26"/>
      <c r="V106" s="20"/>
      <c r="W106" s="27" t="str">
        <f t="shared" si="9"/>
        <v/>
      </c>
      <c r="X106" s="22"/>
      <c r="Y106" s="23" t="str">
        <f t="shared" ca="1" si="10"/>
        <v/>
      </c>
      <c r="Z106" s="20"/>
      <c r="AA106" s="28" t="str">
        <f>IF($F106="","",IF($M106="","Missing expiry",IF($N106&lt;0,"Expired",IF($N106&lt;=Settings!$B$2,"Urgent",IF($N106&lt;=Settings!$B$3,"Review","Active")))))</f>
        <v/>
      </c>
      <c r="AB106" s="28" t="str">
        <f>IF($F106="","",IF($X106="","",IF($Y106&lt;0,"Past EOL",IF($Y106&lt;=Settings!$B$4,"EOL soon","Supported"))))</f>
        <v/>
      </c>
      <c r="AC106" s="28" t="str">
        <f t="shared" si="11"/>
        <v/>
      </c>
      <c r="AD106" s="20"/>
      <c r="AE106" s="22"/>
      <c r="AF106" s="21"/>
      <c r="AG106" s="21"/>
    </row>
    <row r="107" spans="1:33">
      <c r="A107" s="20"/>
      <c r="B107" s="20"/>
      <c r="C107" s="44"/>
      <c r="D107" s="44"/>
      <c r="E107" s="20"/>
      <c r="F107" s="21"/>
      <c r="G107" s="21"/>
      <c r="H107" s="20"/>
      <c r="I107" s="20"/>
      <c r="J107" s="20"/>
      <c r="K107" s="21"/>
      <c r="L107" s="22"/>
      <c r="M107" s="22"/>
      <c r="N107" s="23" t="str">
        <f t="shared" ca="1" si="6"/>
        <v/>
      </c>
      <c r="O107" s="20"/>
      <c r="P107" s="20"/>
      <c r="Q107" s="24"/>
      <c r="R107" s="24"/>
      <c r="S107" s="23" t="str">
        <f t="shared" si="7"/>
        <v/>
      </c>
      <c r="T107" s="25" t="str">
        <f t="shared" si="8"/>
        <v/>
      </c>
      <c r="U107" s="26"/>
      <c r="V107" s="20"/>
      <c r="W107" s="27" t="str">
        <f t="shared" si="9"/>
        <v/>
      </c>
      <c r="X107" s="22"/>
      <c r="Y107" s="23" t="str">
        <f t="shared" ca="1" si="10"/>
        <v/>
      </c>
      <c r="Z107" s="20"/>
      <c r="AA107" s="28" t="str">
        <f>IF($F107="","",IF($M107="","Missing expiry",IF($N107&lt;0,"Expired",IF($N107&lt;=Settings!$B$2,"Urgent",IF($N107&lt;=Settings!$B$3,"Review","Active")))))</f>
        <v/>
      </c>
      <c r="AB107" s="28" t="str">
        <f>IF($F107="","",IF($X107="","",IF($Y107&lt;0,"Past EOL",IF($Y107&lt;=Settings!$B$4,"EOL soon","Supported"))))</f>
        <v/>
      </c>
      <c r="AC107" s="28" t="str">
        <f t="shared" si="11"/>
        <v/>
      </c>
      <c r="AD107" s="20"/>
      <c r="AE107" s="22"/>
      <c r="AF107" s="21"/>
      <c r="AG107" s="21"/>
    </row>
    <row r="108" spans="1:33">
      <c r="A108" s="20"/>
      <c r="B108" s="20"/>
      <c r="C108" s="44"/>
      <c r="D108" s="44"/>
      <c r="E108" s="20"/>
      <c r="F108" s="21"/>
      <c r="G108" s="21"/>
      <c r="H108" s="20"/>
      <c r="I108" s="20"/>
      <c r="J108" s="20"/>
      <c r="K108" s="21"/>
      <c r="L108" s="22"/>
      <c r="M108" s="22"/>
      <c r="N108" s="23" t="str">
        <f t="shared" ca="1" si="6"/>
        <v/>
      </c>
      <c r="O108" s="20"/>
      <c r="P108" s="20"/>
      <c r="Q108" s="24"/>
      <c r="R108" s="24"/>
      <c r="S108" s="23" t="str">
        <f t="shared" si="7"/>
        <v/>
      </c>
      <c r="T108" s="25" t="str">
        <f t="shared" si="8"/>
        <v/>
      </c>
      <c r="U108" s="26"/>
      <c r="V108" s="20"/>
      <c r="W108" s="27" t="str">
        <f t="shared" si="9"/>
        <v/>
      </c>
      <c r="X108" s="22"/>
      <c r="Y108" s="23" t="str">
        <f t="shared" ca="1" si="10"/>
        <v/>
      </c>
      <c r="Z108" s="20"/>
      <c r="AA108" s="28" t="str">
        <f>IF($F108="","",IF($M108="","Missing expiry",IF($N108&lt;0,"Expired",IF($N108&lt;=Settings!$B$2,"Urgent",IF($N108&lt;=Settings!$B$3,"Review","Active")))))</f>
        <v/>
      </c>
      <c r="AB108" s="28" t="str">
        <f>IF($F108="","",IF($X108="","",IF($Y108&lt;0,"Past EOL",IF($Y108&lt;=Settings!$B$4,"EOL soon","Supported"))))</f>
        <v/>
      </c>
      <c r="AC108" s="28" t="str">
        <f t="shared" si="11"/>
        <v/>
      </c>
      <c r="AD108" s="20"/>
      <c r="AE108" s="22"/>
      <c r="AF108" s="21"/>
      <c r="AG108" s="21"/>
    </row>
    <row r="109" spans="1:33">
      <c r="A109" s="20"/>
      <c r="B109" s="20"/>
      <c r="C109" s="44"/>
      <c r="D109" s="44"/>
      <c r="E109" s="20"/>
      <c r="F109" s="21"/>
      <c r="G109" s="21"/>
      <c r="H109" s="20"/>
      <c r="I109" s="20"/>
      <c r="J109" s="20"/>
      <c r="K109" s="21"/>
      <c r="L109" s="22"/>
      <c r="M109" s="22"/>
      <c r="N109" s="23" t="str">
        <f t="shared" ca="1" si="6"/>
        <v/>
      </c>
      <c r="O109" s="20"/>
      <c r="P109" s="20"/>
      <c r="Q109" s="24"/>
      <c r="R109" s="24"/>
      <c r="S109" s="23" t="str">
        <f t="shared" si="7"/>
        <v/>
      </c>
      <c r="T109" s="25" t="str">
        <f t="shared" si="8"/>
        <v/>
      </c>
      <c r="U109" s="26"/>
      <c r="V109" s="20"/>
      <c r="W109" s="27" t="str">
        <f t="shared" si="9"/>
        <v/>
      </c>
      <c r="X109" s="22"/>
      <c r="Y109" s="23" t="str">
        <f t="shared" ca="1" si="10"/>
        <v/>
      </c>
      <c r="Z109" s="20"/>
      <c r="AA109" s="28" t="str">
        <f>IF($F109="","",IF($M109="","Missing expiry",IF($N109&lt;0,"Expired",IF($N109&lt;=Settings!$B$2,"Urgent",IF($N109&lt;=Settings!$B$3,"Review","Active")))))</f>
        <v/>
      </c>
      <c r="AB109" s="28" t="str">
        <f>IF($F109="","",IF($X109="","",IF($Y109&lt;0,"Past EOL",IF($Y109&lt;=Settings!$B$4,"EOL soon","Supported"))))</f>
        <v/>
      </c>
      <c r="AC109" s="28" t="str">
        <f t="shared" si="11"/>
        <v/>
      </c>
      <c r="AD109" s="20"/>
      <c r="AE109" s="22"/>
      <c r="AF109" s="21"/>
      <c r="AG109" s="21"/>
    </row>
    <row r="110" spans="1:33">
      <c r="A110" s="20"/>
      <c r="B110" s="20"/>
      <c r="C110" s="44"/>
      <c r="D110" s="44"/>
      <c r="E110" s="20"/>
      <c r="F110" s="21"/>
      <c r="G110" s="21"/>
      <c r="H110" s="20"/>
      <c r="I110" s="20"/>
      <c r="J110" s="20"/>
      <c r="K110" s="21"/>
      <c r="L110" s="22"/>
      <c r="M110" s="22"/>
      <c r="N110" s="23" t="str">
        <f t="shared" ca="1" si="6"/>
        <v/>
      </c>
      <c r="O110" s="20"/>
      <c r="P110" s="20"/>
      <c r="Q110" s="24"/>
      <c r="R110" s="24"/>
      <c r="S110" s="23" t="str">
        <f t="shared" si="7"/>
        <v/>
      </c>
      <c r="T110" s="25" t="str">
        <f t="shared" si="8"/>
        <v/>
      </c>
      <c r="U110" s="26"/>
      <c r="V110" s="20"/>
      <c r="W110" s="27" t="str">
        <f t="shared" si="9"/>
        <v/>
      </c>
      <c r="X110" s="22"/>
      <c r="Y110" s="23" t="str">
        <f t="shared" ca="1" si="10"/>
        <v/>
      </c>
      <c r="Z110" s="20"/>
      <c r="AA110" s="28" t="str">
        <f>IF($F110="","",IF($M110="","Missing expiry",IF($N110&lt;0,"Expired",IF($N110&lt;=Settings!$B$2,"Urgent",IF($N110&lt;=Settings!$B$3,"Review","Active")))))</f>
        <v/>
      </c>
      <c r="AB110" s="28" t="str">
        <f>IF($F110="","",IF($X110="","",IF($Y110&lt;0,"Past EOL",IF($Y110&lt;=Settings!$B$4,"EOL soon","Supported"))))</f>
        <v/>
      </c>
      <c r="AC110" s="28" t="str">
        <f t="shared" si="11"/>
        <v/>
      </c>
      <c r="AD110" s="20"/>
      <c r="AE110" s="22"/>
      <c r="AF110" s="21"/>
      <c r="AG110" s="21"/>
    </row>
    <row r="111" spans="1:33">
      <c r="A111" s="20"/>
      <c r="B111" s="20"/>
      <c r="C111" s="44"/>
      <c r="D111" s="44"/>
      <c r="E111" s="20"/>
      <c r="F111" s="21"/>
      <c r="G111" s="21"/>
      <c r="H111" s="20"/>
      <c r="I111" s="20"/>
      <c r="J111" s="20"/>
      <c r="K111" s="21"/>
      <c r="L111" s="22"/>
      <c r="M111" s="22"/>
      <c r="N111" s="23" t="str">
        <f t="shared" ca="1" si="6"/>
        <v/>
      </c>
      <c r="O111" s="20"/>
      <c r="P111" s="20"/>
      <c r="Q111" s="24"/>
      <c r="R111" s="24"/>
      <c r="S111" s="23" t="str">
        <f t="shared" si="7"/>
        <v/>
      </c>
      <c r="T111" s="25" t="str">
        <f t="shared" si="8"/>
        <v/>
      </c>
      <c r="U111" s="26"/>
      <c r="V111" s="20"/>
      <c r="W111" s="27" t="str">
        <f t="shared" si="9"/>
        <v/>
      </c>
      <c r="X111" s="22"/>
      <c r="Y111" s="23" t="str">
        <f t="shared" ca="1" si="10"/>
        <v/>
      </c>
      <c r="Z111" s="20"/>
      <c r="AA111" s="28" t="str">
        <f>IF($F111="","",IF($M111="","Missing expiry",IF($N111&lt;0,"Expired",IF($N111&lt;=Settings!$B$2,"Urgent",IF($N111&lt;=Settings!$B$3,"Review","Active")))))</f>
        <v/>
      </c>
      <c r="AB111" s="28" t="str">
        <f>IF($F111="","",IF($X111="","",IF($Y111&lt;0,"Past EOL",IF($Y111&lt;=Settings!$B$4,"EOL soon","Supported"))))</f>
        <v/>
      </c>
      <c r="AC111" s="28" t="str">
        <f t="shared" si="11"/>
        <v/>
      </c>
      <c r="AD111" s="20"/>
      <c r="AE111" s="22"/>
      <c r="AF111" s="21"/>
      <c r="AG111" s="21"/>
    </row>
    <row r="112" spans="1:33">
      <c r="A112" s="20"/>
      <c r="B112" s="20"/>
      <c r="C112" s="44"/>
      <c r="D112" s="44"/>
      <c r="E112" s="20"/>
      <c r="F112" s="21"/>
      <c r="G112" s="21"/>
      <c r="H112" s="20"/>
      <c r="I112" s="20"/>
      <c r="J112" s="20"/>
      <c r="K112" s="21"/>
      <c r="L112" s="22"/>
      <c r="M112" s="22"/>
      <c r="N112" s="23" t="str">
        <f t="shared" ca="1" si="6"/>
        <v/>
      </c>
      <c r="O112" s="20"/>
      <c r="P112" s="20"/>
      <c r="Q112" s="24"/>
      <c r="R112" s="24"/>
      <c r="S112" s="23" t="str">
        <f t="shared" si="7"/>
        <v/>
      </c>
      <c r="T112" s="25" t="str">
        <f t="shared" si="8"/>
        <v/>
      </c>
      <c r="U112" s="26"/>
      <c r="V112" s="20"/>
      <c r="W112" s="27" t="str">
        <f t="shared" si="9"/>
        <v/>
      </c>
      <c r="X112" s="22"/>
      <c r="Y112" s="23" t="str">
        <f t="shared" ca="1" si="10"/>
        <v/>
      </c>
      <c r="Z112" s="20"/>
      <c r="AA112" s="28" t="str">
        <f>IF($F112="","",IF($M112="","Missing expiry",IF($N112&lt;0,"Expired",IF($N112&lt;=Settings!$B$2,"Urgent",IF($N112&lt;=Settings!$B$3,"Review","Active")))))</f>
        <v/>
      </c>
      <c r="AB112" s="28" t="str">
        <f>IF($F112="","",IF($X112="","",IF($Y112&lt;0,"Past EOL",IF($Y112&lt;=Settings!$B$4,"EOL soon","Supported"))))</f>
        <v/>
      </c>
      <c r="AC112" s="28" t="str">
        <f t="shared" si="11"/>
        <v/>
      </c>
      <c r="AD112" s="20"/>
      <c r="AE112" s="22"/>
      <c r="AF112" s="21"/>
      <c r="AG112" s="21"/>
    </row>
    <row r="113" spans="1:33">
      <c r="A113" s="20"/>
      <c r="B113" s="20"/>
      <c r="C113" s="44"/>
      <c r="D113" s="44"/>
      <c r="E113" s="20"/>
      <c r="F113" s="21"/>
      <c r="G113" s="21"/>
      <c r="H113" s="20"/>
      <c r="I113" s="20"/>
      <c r="J113" s="20"/>
      <c r="K113" s="21"/>
      <c r="L113" s="22"/>
      <c r="M113" s="22"/>
      <c r="N113" s="23" t="str">
        <f t="shared" ca="1" si="6"/>
        <v/>
      </c>
      <c r="O113" s="20"/>
      <c r="P113" s="20"/>
      <c r="Q113" s="24"/>
      <c r="R113" s="24"/>
      <c r="S113" s="23" t="str">
        <f t="shared" si="7"/>
        <v/>
      </c>
      <c r="T113" s="25" t="str">
        <f t="shared" si="8"/>
        <v/>
      </c>
      <c r="U113" s="26"/>
      <c r="V113" s="20"/>
      <c r="W113" s="27" t="str">
        <f t="shared" si="9"/>
        <v/>
      </c>
      <c r="X113" s="22"/>
      <c r="Y113" s="23" t="str">
        <f t="shared" ca="1" si="10"/>
        <v/>
      </c>
      <c r="Z113" s="20"/>
      <c r="AA113" s="28" t="str">
        <f>IF($F113="","",IF($M113="","Missing expiry",IF($N113&lt;0,"Expired",IF($N113&lt;=Settings!$B$2,"Urgent",IF($N113&lt;=Settings!$B$3,"Review","Active")))))</f>
        <v/>
      </c>
      <c r="AB113" s="28" t="str">
        <f>IF($F113="","",IF($X113="","",IF($Y113&lt;0,"Past EOL",IF($Y113&lt;=Settings!$B$4,"EOL soon","Supported"))))</f>
        <v/>
      </c>
      <c r="AC113" s="28" t="str">
        <f t="shared" si="11"/>
        <v/>
      </c>
      <c r="AD113" s="20"/>
      <c r="AE113" s="22"/>
      <c r="AF113" s="21"/>
      <c r="AG113" s="21"/>
    </row>
    <row r="114" spans="1:33">
      <c r="A114" s="20"/>
      <c r="B114" s="20"/>
      <c r="C114" s="44"/>
      <c r="D114" s="44"/>
      <c r="E114" s="20"/>
      <c r="F114" s="21"/>
      <c r="G114" s="21"/>
      <c r="H114" s="20"/>
      <c r="I114" s="20"/>
      <c r="J114" s="20"/>
      <c r="K114" s="21"/>
      <c r="L114" s="22"/>
      <c r="M114" s="22"/>
      <c r="N114" s="23" t="str">
        <f t="shared" ca="1" si="6"/>
        <v/>
      </c>
      <c r="O114" s="20"/>
      <c r="P114" s="20"/>
      <c r="Q114" s="24"/>
      <c r="R114" s="24"/>
      <c r="S114" s="23" t="str">
        <f t="shared" si="7"/>
        <v/>
      </c>
      <c r="T114" s="25" t="str">
        <f t="shared" si="8"/>
        <v/>
      </c>
      <c r="U114" s="26"/>
      <c r="V114" s="20"/>
      <c r="W114" s="27" t="str">
        <f t="shared" si="9"/>
        <v/>
      </c>
      <c r="X114" s="22"/>
      <c r="Y114" s="23" t="str">
        <f t="shared" ca="1" si="10"/>
        <v/>
      </c>
      <c r="Z114" s="20"/>
      <c r="AA114" s="28" t="str">
        <f>IF($F114="","",IF($M114="","Missing expiry",IF($N114&lt;0,"Expired",IF($N114&lt;=Settings!$B$2,"Urgent",IF($N114&lt;=Settings!$B$3,"Review","Active")))))</f>
        <v/>
      </c>
      <c r="AB114" s="28" t="str">
        <f>IF($F114="","",IF($X114="","",IF($Y114&lt;0,"Past EOL",IF($Y114&lt;=Settings!$B$4,"EOL soon","Supported"))))</f>
        <v/>
      </c>
      <c r="AC114" s="28" t="str">
        <f t="shared" si="11"/>
        <v/>
      </c>
      <c r="AD114" s="20"/>
      <c r="AE114" s="22"/>
      <c r="AF114" s="21"/>
      <c r="AG114" s="21"/>
    </row>
    <row r="115" spans="1:33">
      <c r="A115" s="20"/>
      <c r="B115" s="20"/>
      <c r="C115" s="44"/>
      <c r="D115" s="44"/>
      <c r="E115" s="20"/>
      <c r="F115" s="21"/>
      <c r="G115" s="21"/>
      <c r="H115" s="20"/>
      <c r="I115" s="20"/>
      <c r="J115" s="20"/>
      <c r="K115" s="21"/>
      <c r="L115" s="22"/>
      <c r="M115" s="22"/>
      <c r="N115" s="23" t="str">
        <f t="shared" ca="1" si="6"/>
        <v/>
      </c>
      <c r="O115" s="20"/>
      <c r="P115" s="20"/>
      <c r="Q115" s="24"/>
      <c r="R115" s="24"/>
      <c r="S115" s="23" t="str">
        <f t="shared" si="7"/>
        <v/>
      </c>
      <c r="T115" s="25" t="str">
        <f t="shared" si="8"/>
        <v/>
      </c>
      <c r="U115" s="26"/>
      <c r="V115" s="20"/>
      <c r="W115" s="27" t="str">
        <f t="shared" si="9"/>
        <v/>
      </c>
      <c r="X115" s="22"/>
      <c r="Y115" s="23" t="str">
        <f t="shared" ca="1" si="10"/>
        <v/>
      </c>
      <c r="Z115" s="20"/>
      <c r="AA115" s="28" t="str">
        <f>IF($F115="","",IF($M115="","Missing expiry",IF($N115&lt;0,"Expired",IF($N115&lt;=Settings!$B$2,"Urgent",IF($N115&lt;=Settings!$B$3,"Review","Active")))))</f>
        <v/>
      </c>
      <c r="AB115" s="28" t="str">
        <f>IF($F115="","",IF($X115="","",IF($Y115&lt;0,"Past EOL",IF($Y115&lt;=Settings!$B$4,"EOL soon","Supported"))))</f>
        <v/>
      </c>
      <c r="AC115" s="28" t="str">
        <f t="shared" si="11"/>
        <v/>
      </c>
      <c r="AD115" s="20"/>
      <c r="AE115" s="22"/>
      <c r="AF115" s="21"/>
      <c r="AG115" s="21"/>
    </row>
    <row r="116" spans="1:33">
      <c r="A116" s="20"/>
      <c r="B116" s="20"/>
      <c r="C116" s="44"/>
      <c r="D116" s="44"/>
      <c r="E116" s="20"/>
      <c r="F116" s="21"/>
      <c r="G116" s="21"/>
      <c r="H116" s="20"/>
      <c r="I116" s="20"/>
      <c r="J116" s="20"/>
      <c r="K116" s="21"/>
      <c r="L116" s="22"/>
      <c r="M116" s="22"/>
      <c r="N116" s="23" t="str">
        <f t="shared" ca="1" si="6"/>
        <v/>
      </c>
      <c r="O116" s="20"/>
      <c r="P116" s="20"/>
      <c r="Q116" s="24"/>
      <c r="R116" s="24"/>
      <c r="S116" s="23" t="str">
        <f t="shared" si="7"/>
        <v/>
      </c>
      <c r="T116" s="25" t="str">
        <f t="shared" si="8"/>
        <v/>
      </c>
      <c r="U116" s="26"/>
      <c r="V116" s="20"/>
      <c r="W116" s="27" t="str">
        <f t="shared" si="9"/>
        <v/>
      </c>
      <c r="X116" s="22"/>
      <c r="Y116" s="23" t="str">
        <f t="shared" ca="1" si="10"/>
        <v/>
      </c>
      <c r="Z116" s="20"/>
      <c r="AA116" s="28" t="str">
        <f>IF($F116="","",IF($M116="","Missing expiry",IF($N116&lt;0,"Expired",IF($N116&lt;=Settings!$B$2,"Urgent",IF($N116&lt;=Settings!$B$3,"Review","Active")))))</f>
        <v/>
      </c>
      <c r="AB116" s="28" t="str">
        <f>IF($F116="","",IF($X116="","",IF($Y116&lt;0,"Past EOL",IF($Y116&lt;=Settings!$B$4,"EOL soon","Supported"))))</f>
        <v/>
      </c>
      <c r="AC116" s="28" t="str">
        <f t="shared" si="11"/>
        <v/>
      </c>
      <c r="AD116" s="20"/>
      <c r="AE116" s="22"/>
      <c r="AF116" s="21"/>
      <c r="AG116" s="21"/>
    </row>
    <row r="117" spans="1:33">
      <c r="A117" s="20"/>
      <c r="B117" s="20"/>
      <c r="C117" s="44"/>
      <c r="D117" s="44"/>
      <c r="E117" s="20"/>
      <c r="F117" s="21"/>
      <c r="G117" s="21"/>
      <c r="H117" s="20"/>
      <c r="I117" s="20"/>
      <c r="J117" s="20"/>
      <c r="K117" s="21"/>
      <c r="L117" s="22"/>
      <c r="M117" s="22"/>
      <c r="N117" s="23" t="str">
        <f t="shared" ca="1" si="6"/>
        <v/>
      </c>
      <c r="O117" s="20"/>
      <c r="P117" s="20"/>
      <c r="Q117" s="24"/>
      <c r="R117" s="24"/>
      <c r="S117" s="23" t="str">
        <f t="shared" si="7"/>
        <v/>
      </c>
      <c r="T117" s="25" t="str">
        <f t="shared" si="8"/>
        <v/>
      </c>
      <c r="U117" s="26"/>
      <c r="V117" s="20"/>
      <c r="W117" s="27" t="str">
        <f t="shared" si="9"/>
        <v/>
      </c>
      <c r="X117" s="22"/>
      <c r="Y117" s="23" t="str">
        <f t="shared" ca="1" si="10"/>
        <v/>
      </c>
      <c r="Z117" s="20"/>
      <c r="AA117" s="28" t="str">
        <f>IF($F117="","",IF($M117="","Missing expiry",IF($N117&lt;0,"Expired",IF($N117&lt;=Settings!$B$2,"Urgent",IF($N117&lt;=Settings!$B$3,"Review","Active")))))</f>
        <v/>
      </c>
      <c r="AB117" s="28" t="str">
        <f>IF($F117="","",IF($X117="","",IF($Y117&lt;0,"Past EOL",IF($Y117&lt;=Settings!$B$4,"EOL soon","Supported"))))</f>
        <v/>
      </c>
      <c r="AC117" s="28" t="str">
        <f t="shared" si="11"/>
        <v/>
      </c>
      <c r="AD117" s="20"/>
      <c r="AE117" s="22"/>
      <c r="AF117" s="21"/>
      <c r="AG117" s="21"/>
    </row>
    <row r="118" spans="1:33">
      <c r="A118" s="20"/>
      <c r="B118" s="20"/>
      <c r="C118" s="44"/>
      <c r="D118" s="44"/>
      <c r="E118" s="20"/>
      <c r="F118" s="21"/>
      <c r="G118" s="21"/>
      <c r="H118" s="20"/>
      <c r="I118" s="20"/>
      <c r="J118" s="20"/>
      <c r="K118" s="21"/>
      <c r="L118" s="22"/>
      <c r="M118" s="22"/>
      <c r="N118" s="23" t="str">
        <f t="shared" ca="1" si="6"/>
        <v/>
      </c>
      <c r="O118" s="20"/>
      <c r="P118" s="20"/>
      <c r="Q118" s="24"/>
      <c r="R118" s="24"/>
      <c r="S118" s="23" t="str">
        <f t="shared" si="7"/>
        <v/>
      </c>
      <c r="T118" s="25" t="str">
        <f t="shared" si="8"/>
        <v/>
      </c>
      <c r="U118" s="26"/>
      <c r="V118" s="20"/>
      <c r="W118" s="27" t="str">
        <f t="shared" si="9"/>
        <v/>
      </c>
      <c r="X118" s="22"/>
      <c r="Y118" s="23" t="str">
        <f t="shared" ca="1" si="10"/>
        <v/>
      </c>
      <c r="Z118" s="20"/>
      <c r="AA118" s="28" t="str">
        <f>IF($F118="","",IF($M118="","Missing expiry",IF($N118&lt;0,"Expired",IF($N118&lt;=Settings!$B$2,"Urgent",IF($N118&lt;=Settings!$B$3,"Review","Active")))))</f>
        <v/>
      </c>
      <c r="AB118" s="28" t="str">
        <f>IF($F118="","",IF($X118="","",IF($Y118&lt;0,"Past EOL",IF($Y118&lt;=Settings!$B$4,"EOL soon","Supported"))))</f>
        <v/>
      </c>
      <c r="AC118" s="28" t="str">
        <f t="shared" si="11"/>
        <v/>
      </c>
      <c r="AD118" s="20"/>
      <c r="AE118" s="22"/>
      <c r="AF118" s="21"/>
      <c r="AG118" s="21"/>
    </row>
    <row r="119" spans="1:33">
      <c r="A119" s="20"/>
      <c r="B119" s="20"/>
      <c r="C119" s="44"/>
      <c r="D119" s="44"/>
      <c r="E119" s="20"/>
      <c r="F119" s="21"/>
      <c r="G119" s="21"/>
      <c r="H119" s="20"/>
      <c r="I119" s="20"/>
      <c r="J119" s="20"/>
      <c r="K119" s="21"/>
      <c r="L119" s="22"/>
      <c r="M119" s="22"/>
      <c r="N119" s="23" t="str">
        <f t="shared" ca="1" si="6"/>
        <v/>
      </c>
      <c r="O119" s="20"/>
      <c r="P119" s="20"/>
      <c r="Q119" s="24"/>
      <c r="R119" s="24"/>
      <c r="S119" s="23" t="str">
        <f t="shared" si="7"/>
        <v/>
      </c>
      <c r="T119" s="25" t="str">
        <f t="shared" si="8"/>
        <v/>
      </c>
      <c r="U119" s="26"/>
      <c r="V119" s="20"/>
      <c r="W119" s="27" t="str">
        <f t="shared" si="9"/>
        <v/>
      </c>
      <c r="X119" s="22"/>
      <c r="Y119" s="23" t="str">
        <f t="shared" ca="1" si="10"/>
        <v/>
      </c>
      <c r="Z119" s="20"/>
      <c r="AA119" s="28" t="str">
        <f>IF($F119="","",IF($M119="","Missing expiry",IF($N119&lt;0,"Expired",IF($N119&lt;=Settings!$B$2,"Urgent",IF($N119&lt;=Settings!$B$3,"Review","Active")))))</f>
        <v/>
      </c>
      <c r="AB119" s="28" t="str">
        <f>IF($F119="","",IF($X119="","",IF($Y119&lt;0,"Past EOL",IF($Y119&lt;=Settings!$B$4,"EOL soon","Supported"))))</f>
        <v/>
      </c>
      <c r="AC119" s="28" t="str">
        <f t="shared" si="11"/>
        <v/>
      </c>
      <c r="AD119" s="20"/>
      <c r="AE119" s="22"/>
      <c r="AF119" s="21"/>
      <c r="AG119" s="21"/>
    </row>
    <row r="120" spans="1:33">
      <c r="A120" s="20"/>
      <c r="B120" s="20"/>
      <c r="C120" s="44"/>
      <c r="D120" s="44"/>
      <c r="E120" s="20"/>
      <c r="F120" s="21"/>
      <c r="G120" s="21"/>
      <c r="H120" s="20"/>
      <c r="I120" s="20"/>
      <c r="J120" s="20"/>
      <c r="K120" s="21"/>
      <c r="L120" s="22"/>
      <c r="M120" s="22"/>
      <c r="N120" s="23" t="str">
        <f t="shared" ca="1" si="6"/>
        <v/>
      </c>
      <c r="O120" s="20"/>
      <c r="P120" s="20"/>
      <c r="Q120" s="24"/>
      <c r="R120" s="24"/>
      <c r="S120" s="23" t="str">
        <f t="shared" si="7"/>
        <v/>
      </c>
      <c r="T120" s="25" t="str">
        <f t="shared" si="8"/>
        <v/>
      </c>
      <c r="U120" s="26"/>
      <c r="V120" s="20"/>
      <c r="W120" s="27" t="str">
        <f t="shared" si="9"/>
        <v/>
      </c>
      <c r="X120" s="22"/>
      <c r="Y120" s="23" t="str">
        <f t="shared" ca="1" si="10"/>
        <v/>
      </c>
      <c r="Z120" s="20"/>
      <c r="AA120" s="28" t="str">
        <f>IF($F120="","",IF($M120="","Missing expiry",IF($N120&lt;0,"Expired",IF($N120&lt;=Settings!$B$2,"Urgent",IF($N120&lt;=Settings!$B$3,"Review","Active")))))</f>
        <v/>
      </c>
      <c r="AB120" s="28" t="str">
        <f>IF($F120="","",IF($X120="","",IF($Y120&lt;0,"Past EOL",IF($Y120&lt;=Settings!$B$4,"EOL soon","Supported"))))</f>
        <v/>
      </c>
      <c r="AC120" s="28" t="str">
        <f t="shared" si="11"/>
        <v/>
      </c>
      <c r="AD120" s="20"/>
      <c r="AE120" s="22"/>
      <c r="AF120" s="21"/>
      <c r="AG120" s="21"/>
    </row>
    <row r="121" spans="1:33">
      <c r="A121" s="20"/>
      <c r="B121" s="20"/>
      <c r="C121" s="44"/>
      <c r="D121" s="44"/>
      <c r="E121" s="20"/>
      <c r="F121" s="21"/>
      <c r="G121" s="21"/>
      <c r="H121" s="20"/>
      <c r="I121" s="20"/>
      <c r="J121" s="20"/>
      <c r="K121" s="21"/>
      <c r="L121" s="22"/>
      <c r="M121" s="22"/>
      <c r="N121" s="23" t="str">
        <f t="shared" ca="1" si="6"/>
        <v/>
      </c>
      <c r="O121" s="20"/>
      <c r="P121" s="20"/>
      <c r="Q121" s="24"/>
      <c r="R121" s="24"/>
      <c r="S121" s="23" t="str">
        <f t="shared" si="7"/>
        <v/>
      </c>
      <c r="T121" s="25" t="str">
        <f t="shared" si="8"/>
        <v/>
      </c>
      <c r="U121" s="26"/>
      <c r="V121" s="20"/>
      <c r="W121" s="27" t="str">
        <f t="shared" si="9"/>
        <v/>
      </c>
      <c r="X121" s="22"/>
      <c r="Y121" s="23" t="str">
        <f t="shared" ca="1" si="10"/>
        <v/>
      </c>
      <c r="Z121" s="20"/>
      <c r="AA121" s="28" t="str">
        <f>IF($F121="","",IF($M121="","Missing expiry",IF($N121&lt;0,"Expired",IF($N121&lt;=Settings!$B$2,"Urgent",IF($N121&lt;=Settings!$B$3,"Review","Active")))))</f>
        <v/>
      </c>
      <c r="AB121" s="28" t="str">
        <f>IF($F121="","",IF($X121="","",IF($Y121&lt;0,"Past EOL",IF($Y121&lt;=Settings!$B$4,"EOL soon","Supported"))))</f>
        <v/>
      </c>
      <c r="AC121" s="28" t="str">
        <f t="shared" si="11"/>
        <v/>
      </c>
      <c r="AD121" s="20"/>
      <c r="AE121" s="22"/>
      <c r="AF121" s="21"/>
      <c r="AG121" s="21"/>
    </row>
    <row r="122" spans="1:33">
      <c r="A122" s="20"/>
      <c r="B122" s="20"/>
      <c r="C122" s="44"/>
      <c r="D122" s="44"/>
      <c r="E122" s="20"/>
      <c r="F122" s="21"/>
      <c r="G122" s="21"/>
      <c r="H122" s="20"/>
      <c r="I122" s="20"/>
      <c r="J122" s="20"/>
      <c r="K122" s="21"/>
      <c r="L122" s="22"/>
      <c r="M122" s="22"/>
      <c r="N122" s="23" t="str">
        <f t="shared" ca="1" si="6"/>
        <v/>
      </c>
      <c r="O122" s="20"/>
      <c r="P122" s="20"/>
      <c r="Q122" s="24"/>
      <c r="R122" s="24"/>
      <c r="S122" s="23" t="str">
        <f t="shared" si="7"/>
        <v/>
      </c>
      <c r="T122" s="25" t="str">
        <f t="shared" si="8"/>
        <v/>
      </c>
      <c r="U122" s="26"/>
      <c r="V122" s="20"/>
      <c r="W122" s="27" t="str">
        <f t="shared" si="9"/>
        <v/>
      </c>
      <c r="X122" s="22"/>
      <c r="Y122" s="23" t="str">
        <f t="shared" ca="1" si="10"/>
        <v/>
      </c>
      <c r="Z122" s="20"/>
      <c r="AA122" s="28" t="str">
        <f>IF($F122="","",IF($M122="","Missing expiry",IF($N122&lt;0,"Expired",IF($N122&lt;=Settings!$B$2,"Urgent",IF($N122&lt;=Settings!$B$3,"Review","Active")))))</f>
        <v/>
      </c>
      <c r="AB122" s="28" t="str">
        <f>IF($F122="","",IF($X122="","",IF($Y122&lt;0,"Past EOL",IF($Y122&lt;=Settings!$B$4,"EOL soon","Supported"))))</f>
        <v/>
      </c>
      <c r="AC122" s="28" t="str">
        <f t="shared" si="11"/>
        <v/>
      </c>
      <c r="AD122" s="20"/>
      <c r="AE122" s="22"/>
      <c r="AF122" s="21"/>
      <c r="AG122" s="21"/>
    </row>
    <row r="123" spans="1:33">
      <c r="A123" s="20"/>
      <c r="B123" s="20"/>
      <c r="C123" s="44"/>
      <c r="D123" s="44"/>
      <c r="E123" s="20"/>
      <c r="F123" s="21"/>
      <c r="G123" s="21"/>
      <c r="H123" s="20"/>
      <c r="I123" s="20"/>
      <c r="J123" s="20"/>
      <c r="K123" s="21"/>
      <c r="L123" s="22"/>
      <c r="M123" s="22"/>
      <c r="N123" s="23" t="str">
        <f t="shared" ca="1" si="6"/>
        <v/>
      </c>
      <c r="O123" s="20"/>
      <c r="P123" s="20"/>
      <c r="Q123" s="24"/>
      <c r="R123" s="24"/>
      <c r="S123" s="23" t="str">
        <f t="shared" si="7"/>
        <v/>
      </c>
      <c r="T123" s="25" t="str">
        <f t="shared" ref="T123:T134" si="12">IF($F123="","",IF(OR($Q123="",$Q123=0,$R123=""),"",$R123/$Q123))</f>
        <v/>
      </c>
      <c r="U123" s="26"/>
      <c r="V123" s="20"/>
      <c r="W123" s="27" t="str">
        <f t="shared" si="9"/>
        <v/>
      </c>
      <c r="X123" s="22"/>
      <c r="Y123" s="23" t="str">
        <f t="shared" ca="1" si="10"/>
        <v/>
      </c>
      <c r="Z123" s="20"/>
      <c r="AA123" s="28" t="str">
        <f>IF($F123="","",IF($M123="","Missing expiry",IF($N123&lt;0,"Expired",IF($N123&lt;=Settings!$B$2,"Urgent",IF($N123&lt;=Settings!$B$3,"Review","Active")))))</f>
        <v/>
      </c>
      <c r="AB123" s="28" t="str">
        <f>IF($F123="","",IF($X123="","",IF($Y123&lt;0,"Past EOL",IF($Y123&lt;=Settings!$B$4,"EOL soon","Supported"))))</f>
        <v/>
      </c>
      <c r="AC123" s="28" t="str">
        <f t="shared" si="11"/>
        <v/>
      </c>
      <c r="AD123" s="20"/>
      <c r="AE123" s="22"/>
      <c r="AF123" s="21"/>
      <c r="AG123" s="21"/>
    </row>
    <row r="124" spans="1:33">
      <c r="A124" s="20"/>
      <c r="B124" s="20"/>
      <c r="C124" s="44"/>
      <c r="D124" s="44"/>
      <c r="E124" s="20"/>
      <c r="F124" s="21"/>
      <c r="G124" s="21"/>
      <c r="H124" s="20"/>
      <c r="I124" s="20"/>
      <c r="J124" s="20"/>
      <c r="K124" s="21"/>
      <c r="L124" s="22"/>
      <c r="M124" s="22"/>
      <c r="N124" s="23" t="str">
        <f t="shared" ca="1" si="6"/>
        <v/>
      </c>
      <c r="O124" s="20"/>
      <c r="P124" s="20"/>
      <c r="Q124" s="24"/>
      <c r="R124" s="24"/>
      <c r="S124" s="23" t="str">
        <f t="shared" si="7"/>
        <v/>
      </c>
      <c r="T124" s="25" t="str">
        <f t="shared" si="12"/>
        <v/>
      </c>
      <c r="U124" s="26"/>
      <c r="V124" s="20"/>
      <c r="W124" s="27" t="str">
        <f t="shared" si="9"/>
        <v/>
      </c>
      <c r="X124" s="22"/>
      <c r="Y124" s="23" t="str">
        <f t="shared" ca="1" si="10"/>
        <v/>
      </c>
      <c r="Z124" s="20"/>
      <c r="AA124" s="28" t="str">
        <f>IF($F124="","",IF($M124="","Missing expiry",IF($N124&lt;0,"Expired",IF($N124&lt;=Settings!$B$2,"Urgent",IF($N124&lt;=Settings!$B$3,"Review","Active")))))</f>
        <v/>
      </c>
      <c r="AB124" s="28" t="str">
        <f>IF($F124="","",IF($X124="","",IF($Y124&lt;0,"Past EOL",IF($Y124&lt;=Settings!$B$4,"EOL soon","Supported"))))</f>
        <v/>
      </c>
      <c r="AC124" s="28" t="str">
        <f t="shared" si="11"/>
        <v/>
      </c>
      <c r="AD124" s="20"/>
      <c r="AE124" s="22"/>
      <c r="AF124" s="21"/>
      <c r="AG124" s="21"/>
    </row>
    <row r="125" spans="1:33">
      <c r="A125" s="20"/>
      <c r="B125" s="20"/>
      <c r="C125" s="44"/>
      <c r="D125" s="44"/>
      <c r="E125" s="20"/>
      <c r="F125" s="21"/>
      <c r="G125" s="21"/>
      <c r="H125" s="20"/>
      <c r="I125" s="20"/>
      <c r="J125" s="20"/>
      <c r="K125" s="21"/>
      <c r="L125" s="22"/>
      <c r="M125" s="22"/>
      <c r="N125" s="23" t="str">
        <f t="shared" ca="1" si="6"/>
        <v/>
      </c>
      <c r="O125" s="20"/>
      <c r="P125" s="20"/>
      <c r="Q125" s="24"/>
      <c r="R125" s="24"/>
      <c r="S125" s="23" t="str">
        <f t="shared" si="7"/>
        <v/>
      </c>
      <c r="T125" s="25" t="str">
        <f t="shared" si="12"/>
        <v/>
      </c>
      <c r="U125" s="26"/>
      <c r="V125" s="20"/>
      <c r="W125" s="27" t="str">
        <f t="shared" si="9"/>
        <v/>
      </c>
      <c r="X125" s="22"/>
      <c r="Y125" s="23" t="str">
        <f t="shared" ca="1" si="10"/>
        <v/>
      </c>
      <c r="Z125" s="20"/>
      <c r="AA125" s="28" t="str">
        <f>IF($F125="","",IF($M125="","Missing expiry",IF($N125&lt;0,"Expired",IF($N125&lt;=Settings!$B$2,"Urgent",IF($N125&lt;=Settings!$B$3,"Review","Active")))))</f>
        <v/>
      </c>
      <c r="AB125" s="28" t="str">
        <f>IF($F125="","",IF($X125="","",IF($Y125&lt;0,"Past EOL",IF($Y125&lt;=Settings!$B$4,"EOL soon","Supported"))))</f>
        <v/>
      </c>
      <c r="AC125" s="28" t="str">
        <f t="shared" si="11"/>
        <v/>
      </c>
      <c r="AD125" s="20"/>
      <c r="AE125" s="22"/>
      <c r="AF125" s="21"/>
      <c r="AG125" s="21"/>
    </row>
    <row r="126" spans="1:33">
      <c r="A126" s="20"/>
      <c r="B126" s="20"/>
      <c r="C126" s="44"/>
      <c r="D126" s="44"/>
      <c r="E126" s="20"/>
      <c r="F126" s="21"/>
      <c r="G126" s="21"/>
      <c r="H126" s="20"/>
      <c r="I126" s="20"/>
      <c r="J126" s="20"/>
      <c r="K126" s="21"/>
      <c r="L126" s="22"/>
      <c r="M126" s="22"/>
      <c r="N126" s="23" t="str">
        <f t="shared" ca="1" si="6"/>
        <v/>
      </c>
      <c r="O126" s="20"/>
      <c r="P126" s="20"/>
      <c r="Q126" s="24"/>
      <c r="R126" s="24"/>
      <c r="S126" s="23" t="str">
        <f t="shared" si="7"/>
        <v/>
      </c>
      <c r="T126" s="25" t="str">
        <f t="shared" si="12"/>
        <v/>
      </c>
      <c r="U126" s="26"/>
      <c r="V126" s="20"/>
      <c r="W126" s="27" t="str">
        <f t="shared" si="9"/>
        <v/>
      </c>
      <c r="X126" s="22"/>
      <c r="Y126" s="23" t="str">
        <f t="shared" ca="1" si="10"/>
        <v/>
      </c>
      <c r="Z126" s="20"/>
      <c r="AA126" s="28" t="str">
        <f>IF($F126="","",IF($M126="","Missing expiry",IF($N126&lt;0,"Expired",IF($N126&lt;=Settings!$B$2,"Urgent",IF($N126&lt;=Settings!$B$3,"Review","Active")))))</f>
        <v/>
      </c>
      <c r="AB126" s="28" t="str">
        <f>IF($F126="","",IF($X126="","",IF($Y126&lt;0,"Past EOL",IF($Y126&lt;=Settings!$B$4,"EOL soon","Supported"))))</f>
        <v/>
      </c>
      <c r="AC126" s="28" t="str">
        <f t="shared" si="11"/>
        <v/>
      </c>
      <c r="AD126" s="20"/>
      <c r="AE126" s="22"/>
      <c r="AF126" s="21"/>
      <c r="AG126" s="21"/>
    </row>
    <row r="127" spans="1:33">
      <c r="A127" s="20"/>
      <c r="B127" s="20"/>
      <c r="C127" s="44"/>
      <c r="D127" s="44"/>
      <c r="E127" s="20"/>
      <c r="F127" s="21"/>
      <c r="G127" s="21"/>
      <c r="H127" s="20"/>
      <c r="I127" s="20"/>
      <c r="J127" s="20"/>
      <c r="K127" s="21"/>
      <c r="L127" s="22"/>
      <c r="M127" s="22"/>
      <c r="N127" s="23" t="str">
        <f t="shared" ca="1" si="6"/>
        <v/>
      </c>
      <c r="O127" s="20"/>
      <c r="P127" s="20"/>
      <c r="Q127" s="24"/>
      <c r="R127" s="24"/>
      <c r="S127" s="23" t="str">
        <f t="shared" si="7"/>
        <v/>
      </c>
      <c r="T127" s="25" t="str">
        <f t="shared" si="12"/>
        <v/>
      </c>
      <c r="U127" s="26"/>
      <c r="V127" s="20"/>
      <c r="W127" s="27" t="str">
        <f t="shared" si="9"/>
        <v/>
      </c>
      <c r="X127" s="22"/>
      <c r="Y127" s="23" t="str">
        <f t="shared" ca="1" si="10"/>
        <v/>
      </c>
      <c r="Z127" s="20"/>
      <c r="AA127" s="28" t="str">
        <f>IF($F127="","",IF($M127="","Missing expiry",IF($N127&lt;0,"Expired",IF($N127&lt;=Settings!$B$2,"Urgent",IF($N127&lt;=Settings!$B$3,"Review","Active")))))</f>
        <v/>
      </c>
      <c r="AB127" s="28" t="str">
        <f>IF($F127="","",IF($X127="","",IF($Y127&lt;0,"Past EOL",IF($Y127&lt;=Settings!$B$4,"EOL soon","Supported"))))</f>
        <v/>
      </c>
      <c r="AC127" s="28" t="str">
        <f t="shared" si="11"/>
        <v/>
      </c>
      <c r="AD127" s="20"/>
      <c r="AE127" s="22"/>
      <c r="AF127" s="21"/>
      <c r="AG127" s="21"/>
    </row>
    <row r="128" spans="1:33">
      <c r="A128" s="20"/>
      <c r="B128" s="20"/>
      <c r="C128" s="44"/>
      <c r="D128" s="44"/>
      <c r="E128" s="20"/>
      <c r="F128" s="21"/>
      <c r="G128" s="21"/>
      <c r="H128" s="20"/>
      <c r="I128" s="20"/>
      <c r="J128" s="20"/>
      <c r="K128" s="21"/>
      <c r="L128" s="22"/>
      <c r="M128" s="22"/>
      <c r="N128" s="23" t="str">
        <f t="shared" ca="1" si="6"/>
        <v/>
      </c>
      <c r="O128" s="20"/>
      <c r="P128" s="20"/>
      <c r="Q128" s="24"/>
      <c r="R128" s="24"/>
      <c r="S128" s="23" t="str">
        <f t="shared" si="7"/>
        <v/>
      </c>
      <c r="T128" s="25" t="str">
        <f t="shared" si="12"/>
        <v/>
      </c>
      <c r="U128" s="26"/>
      <c r="V128" s="20"/>
      <c r="W128" s="27" t="str">
        <f t="shared" si="9"/>
        <v/>
      </c>
      <c r="X128" s="22"/>
      <c r="Y128" s="23" t="str">
        <f t="shared" ca="1" si="10"/>
        <v/>
      </c>
      <c r="Z128" s="20"/>
      <c r="AA128" s="28" t="str">
        <f>IF($F128="","",IF($M128="","Missing expiry",IF($N128&lt;0,"Expired",IF($N128&lt;=Settings!$B$2,"Urgent",IF($N128&lt;=Settings!$B$3,"Review","Active")))))</f>
        <v/>
      </c>
      <c r="AB128" s="28" t="str">
        <f>IF($F128="","",IF($X128="","",IF($Y128&lt;0,"Past EOL",IF($Y128&lt;=Settings!$B$4,"EOL soon","Supported"))))</f>
        <v/>
      </c>
      <c r="AC128" s="28" t="str">
        <f t="shared" si="11"/>
        <v/>
      </c>
      <c r="AD128" s="20"/>
      <c r="AE128" s="22"/>
      <c r="AF128" s="21"/>
      <c r="AG128" s="21"/>
    </row>
    <row r="129" spans="1:33">
      <c r="A129" s="20"/>
      <c r="B129" s="20"/>
      <c r="C129" s="44"/>
      <c r="D129" s="44"/>
      <c r="E129" s="20"/>
      <c r="F129" s="21"/>
      <c r="G129" s="21"/>
      <c r="H129" s="20"/>
      <c r="I129" s="20"/>
      <c r="J129" s="20"/>
      <c r="K129" s="21"/>
      <c r="L129" s="22"/>
      <c r="M129" s="22"/>
      <c r="N129" s="23" t="str">
        <f t="shared" ca="1" si="6"/>
        <v/>
      </c>
      <c r="O129" s="20"/>
      <c r="P129" s="20"/>
      <c r="Q129" s="24"/>
      <c r="R129" s="24"/>
      <c r="S129" s="23" t="str">
        <f t="shared" si="7"/>
        <v/>
      </c>
      <c r="T129" s="25" t="str">
        <f t="shared" si="12"/>
        <v/>
      </c>
      <c r="U129" s="26"/>
      <c r="V129" s="20"/>
      <c r="W129" s="27" t="str">
        <f t="shared" si="9"/>
        <v/>
      </c>
      <c r="X129" s="22"/>
      <c r="Y129" s="23" t="str">
        <f t="shared" ca="1" si="10"/>
        <v/>
      </c>
      <c r="Z129" s="20"/>
      <c r="AA129" s="28" t="str">
        <f>IF($F129="","",IF($M129="","Missing expiry",IF($N129&lt;0,"Expired",IF($N129&lt;=Settings!$B$2,"Urgent",IF($N129&lt;=Settings!$B$3,"Review","Active")))))</f>
        <v/>
      </c>
      <c r="AB129" s="28" t="str">
        <f>IF($F129="","",IF($X129="","",IF($Y129&lt;0,"Past EOL",IF($Y129&lt;=Settings!$B$4,"EOL soon","Supported"))))</f>
        <v/>
      </c>
      <c r="AC129" s="28" t="str">
        <f t="shared" si="11"/>
        <v/>
      </c>
      <c r="AD129" s="20"/>
      <c r="AE129" s="22"/>
      <c r="AF129" s="21"/>
      <c r="AG129" s="21"/>
    </row>
    <row r="130" spans="1:33">
      <c r="A130" s="20"/>
      <c r="B130" s="20"/>
      <c r="C130" s="44"/>
      <c r="D130" s="44"/>
      <c r="E130" s="20"/>
      <c r="F130" s="21"/>
      <c r="G130" s="21"/>
      <c r="H130" s="20"/>
      <c r="I130" s="20"/>
      <c r="J130" s="20"/>
      <c r="K130" s="21"/>
      <c r="L130" s="22"/>
      <c r="M130" s="22"/>
      <c r="N130" s="23" t="str">
        <f t="shared" ca="1" si="6"/>
        <v/>
      </c>
      <c r="O130" s="20"/>
      <c r="P130" s="20"/>
      <c r="Q130" s="24"/>
      <c r="R130" s="24"/>
      <c r="S130" s="23" t="str">
        <f t="shared" si="7"/>
        <v/>
      </c>
      <c r="T130" s="25" t="str">
        <f t="shared" si="12"/>
        <v/>
      </c>
      <c r="U130" s="26"/>
      <c r="V130" s="20"/>
      <c r="W130" s="27" t="str">
        <f t="shared" si="9"/>
        <v/>
      </c>
      <c r="X130" s="22"/>
      <c r="Y130" s="23" t="str">
        <f t="shared" ca="1" si="10"/>
        <v/>
      </c>
      <c r="Z130" s="20"/>
      <c r="AA130" s="28" t="str">
        <f>IF($F130="","",IF($M130="","Missing expiry",IF($N130&lt;0,"Expired",IF($N130&lt;=Settings!$B$2,"Urgent",IF($N130&lt;=Settings!$B$3,"Review","Active")))))</f>
        <v/>
      </c>
      <c r="AB130" s="28" t="str">
        <f>IF($F130="","",IF($X130="","",IF($Y130&lt;0,"Past EOL",IF($Y130&lt;=Settings!$B$4,"EOL soon","Supported"))))</f>
        <v/>
      </c>
      <c r="AC130" s="28" t="str">
        <f t="shared" si="11"/>
        <v/>
      </c>
      <c r="AD130" s="20"/>
      <c r="AE130" s="22"/>
      <c r="AF130" s="21"/>
      <c r="AG130" s="21"/>
    </row>
    <row r="131" spans="1:33">
      <c r="A131" s="20"/>
      <c r="B131" s="20"/>
      <c r="C131" s="44"/>
      <c r="D131" s="44"/>
      <c r="E131" s="20"/>
      <c r="F131" s="21"/>
      <c r="G131" s="21"/>
      <c r="H131" s="20"/>
      <c r="I131" s="20"/>
      <c r="J131" s="20"/>
      <c r="K131" s="21"/>
      <c r="L131" s="22"/>
      <c r="M131" s="22"/>
      <c r="N131" s="23" t="str">
        <f t="shared" ca="1" si="6"/>
        <v/>
      </c>
      <c r="O131" s="20"/>
      <c r="P131" s="20"/>
      <c r="Q131" s="24"/>
      <c r="R131" s="24"/>
      <c r="S131" s="23" t="str">
        <f t="shared" si="7"/>
        <v/>
      </c>
      <c r="T131" s="25" t="str">
        <f t="shared" si="12"/>
        <v/>
      </c>
      <c r="U131" s="26"/>
      <c r="V131" s="20"/>
      <c r="W131" s="27" t="str">
        <f t="shared" si="9"/>
        <v/>
      </c>
      <c r="X131" s="22"/>
      <c r="Y131" s="23" t="str">
        <f t="shared" ca="1" si="10"/>
        <v/>
      </c>
      <c r="Z131" s="20"/>
      <c r="AA131" s="28" t="str">
        <f>IF($F131="","",IF($M131="","Missing expiry",IF($N131&lt;0,"Expired",IF($N131&lt;=Settings!$B$2,"Urgent",IF($N131&lt;=Settings!$B$3,"Review","Active")))))</f>
        <v/>
      </c>
      <c r="AB131" s="28" t="str">
        <f>IF($F131="","",IF($X131="","",IF($Y131&lt;0,"Past EOL",IF($Y131&lt;=Settings!$B$4,"EOL soon","Supported"))))</f>
        <v/>
      </c>
      <c r="AC131" s="28" t="str">
        <f t="shared" si="11"/>
        <v/>
      </c>
      <c r="AD131" s="20"/>
      <c r="AE131" s="22"/>
      <c r="AF131" s="21"/>
      <c r="AG131" s="21"/>
    </row>
    <row r="132" spans="1:33">
      <c r="A132" s="20"/>
      <c r="B132" s="20"/>
      <c r="C132" s="44"/>
      <c r="D132" s="44"/>
      <c r="E132" s="20"/>
      <c r="F132" s="21"/>
      <c r="G132" s="21"/>
      <c r="H132" s="20"/>
      <c r="I132" s="20"/>
      <c r="J132" s="20"/>
      <c r="K132" s="21"/>
      <c r="L132" s="22"/>
      <c r="M132" s="22"/>
      <c r="N132" s="23" t="str">
        <f t="shared" ca="1" si="6"/>
        <v/>
      </c>
      <c r="O132" s="20"/>
      <c r="P132" s="20"/>
      <c r="Q132" s="24"/>
      <c r="R132" s="24"/>
      <c r="S132" s="23" t="str">
        <f t="shared" si="7"/>
        <v/>
      </c>
      <c r="T132" s="25" t="str">
        <f t="shared" si="12"/>
        <v/>
      </c>
      <c r="U132" s="26"/>
      <c r="V132" s="20"/>
      <c r="W132" s="27" t="str">
        <f t="shared" si="9"/>
        <v/>
      </c>
      <c r="X132" s="22"/>
      <c r="Y132" s="23" t="str">
        <f t="shared" ca="1" si="10"/>
        <v/>
      </c>
      <c r="Z132" s="20"/>
      <c r="AA132" s="28" t="str">
        <f>IF($F132="","",IF($M132="","Missing expiry",IF($N132&lt;0,"Expired",IF($N132&lt;=Settings!$B$2,"Urgent",IF($N132&lt;=Settings!$B$3,"Review","Active")))))</f>
        <v/>
      </c>
      <c r="AB132" s="28" t="str">
        <f>IF($F132="","",IF($X132="","",IF($Y132&lt;0,"Past EOL",IF($Y132&lt;=Settings!$B$4,"EOL soon","Supported"))))</f>
        <v/>
      </c>
      <c r="AC132" s="28" t="str">
        <f t="shared" si="11"/>
        <v/>
      </c>
      <c r="AD132" s="20"/>
      <c r="AE132" s="22"/>
      <c r="AF132" s="21"/>
      <c r="AG132" s="21"/>
    </row>
    <row r="133" spans="1:33">
      <c r="A133" s="20"/>
      <c r="B133" s="20"/>
      <c r="C133" s="44"/>
      <c r="D133" s="44"/>
      <c r="E133" s="20"/>
      <c r="F133" s="21"/>
      <c r="G133" s="21"/>
      <c r="H133" s="20"/>
      <c r="I133" s="20"/>
      <c r="J133" s="20"/>
      <c r="K133" s="21"/>
      <c r="L133" s="22"/>
      <c r="M133" s="22"/>
      <c r="N133" s="23" t="str">
        <f t="shared" ca="1" si="6"/>
        <v/>
      </c>
      <c r="O133" s="20"/>
      <c r="P133" s="20"/>
      <c r="Q133" s="24"/>
      <c r="R133" s="24"/>
      <c r="S133" s="23" t="str">
        <f t="shared" si="7"/>
        <v/>
      </c>
      <c r="T133" s="25" t="str">
        <f t="shared" si="12"/>
        <v/>
      </c>
      <c r="U133" s="26"/>
      <c r="V133" s="20"/>
      <c r="W133" s="27" t="str">
        <f t="shared" si="9"/>
        <v/>
      </c>
      <c r="X133" s="22"/>
      <c r="Y133" s="23" t="str">
        <f t="shared" ca="1" si="10"/>
        <v/>
      </c>
      <c r="Z133" s="20"/>
      <c r="AA133" s="28" t="str">
        <f>IF($F133="","",IF($M133="","Missing expiry",IF($N133&lt;0,"Expired",IF($N133&lt;=Settings!$B$2,"Urgent",IF($N133&lt;=Settings!$B$3,"Review","Active")))))</f>
        <v/>
      </c>
      <c r="AB133" s="28" t="str">
        <f>IF($F133="","",IF($X133="","",IF($Y133&lt;0,"Past EOL",IF($Y133&lt;=Settings!$B$4,"EOL soon","Supported"))))</f>
        <v/>
      </c>
      <c r="AC133" s="28" t="str">
        <f t="shared" si="11"/>
        <v/>
      </c>
      <c r="AD133" s="20"/>
      <c r="AE133" s="22"/>
      <c r="AF133" s="21"/>
      <c r="AG133" s="21"/>
    </row>
    <row r="134" spans="1:33">
      <c r="A134" s="20"/>
      <c r="B134" s="20"/>
      <c r="C134" s="44"/>
      <c r="D134" s="44"/>
      <c r="E134" s="20"/>
      <c r="F134" s="21"/>
      <c r="G134" s="21"/>
      <c r="H134" s="20"/>
      <c r="I134" s="20"/>
      <c r="J134" s="20"/>
      <c r="K134" s="21"/>
      <c r="L134" s="22"/>
      <c r="M134" s="22"/>
      <c r="N134" s="23" t="str">
        <f t="shared" ca="1" si="6"/>
        <v/>
      </c>
      <c r="O134" s="20"/>
      <c r="P134" s="20"/>
      <c r="Q134" s="24"/>
      <c r="R134" s="24"/>
      <c r="S134" s="23" t="str">
        <f t="shared" si="7"/>
        <v/>
      </c>
      <c r="T134" s="25" t="str">
        <f t="shared" si="12"/>
        <v/>
      </c>
      <c r="U134" s="26"/>
      <c r="V134" s="20"/>
      <c r="W134" s="27" t="str">
        <f t="shared" si="9"/>
        <v/>
      </c>
      <c r="X134" s="22"/>
      <c r="Y134" s="23" t="str">
        <f t="shared" ca="1" si="10"/>
        <v/>
      </c>
      <c r="Z134" s="20"/>
      <c r="AA134" s="28" t="str">
        <f>IF($F134="","",IF($M134="","Missing expiry",IF($N134&lt;0,"Expired",IF($N134&lt;=Settings!$B$2,"Urgent",IF($N134&lt;=Settings!$B$3,"Review","Active")))))</f>
        <v/>
      </c>
      <c r="AB134" s="28" t="str">
        <f>IF($F134="","",IF($X134="","",IF($Y134&lt;0,"Past EOL",IF($Y134&lt;=Settings!$B$4,"EOL soon","Supported"))))</f>
        <v/>
      </c>
      <c r="AC134" s="28" t="str">
        <f t="shared" si="11"/>
        <v/>
      </c>
      <c r="AD134" s="20"/>
      <c r="AE134" s="22"/>
      <c r="AF134" s="21"/>
      <c r="AG134" s="21"/>
    </row>
    <row r="135" spans="1:33">
      <c r="A135" s="20"/>
      <c r="B135" s="20"/>
      <c r="C135" s="44"/>
      <c r="D135" s="44"/>
      <c r="E135" s="20"/>
      <c r="F135" s="21"/>
      <c r="G135" s="21"/>
      <c r="H135" s="20"/>
      <c r="I135" s="20"/>
      <c r="J135" s="20"/>
      <c r="K135" s="21"/>
      <c r="L135" s="22"/>
      <c r="M135" s="22"/>
      <c r="N135" s="23" t="str">
        <f t="shared" ref="N135:N198" ca="1" si="13">IF($F135="","",IF($M135="","",$M135-TODAY()))</f>
        <v/>
      </c>
      <c r="O135" s="20"/>
      <c r="P135" s="20"/>
      <c r="Q135" s="24"/>
      <c r="R135" s="24"/>
      <c r="S135" s="23" t="str">
        <f t="shared" ref="S135:S198" si="14">IF($F135="","",IF(OR($Q135="",$R135=""),"",$Q135-$R135))</f>
        <v/>
      </c>
      <c r="T135" s="25" t="str">
        <f t="shared" ref="T135:T198" si="15">IF($F135="","",IF(OR($Q135="",$Q135=0,$R135=""),"",$R135/$Q135))</f>
        <v/>
      </c>
      <c r="U135" s="26"/>
      <c r="V135" s="20"/>
      <c r="W135" s="27" t="str">
        <f t="shared" ref="W135:W198" si="16">IF($F135="","",IF(OR($U135="",$Q135=""),"",$U135*$Q135))</f>
        <v/>
      </c>
      <c r="X135" s="22"/>
      <c r="Y135" s="23" t="str">
        <f t="shared" ref="Y135:Y198" ca="1" si="17">IF($F135="","",IF($X135="","",$X135-TODAY()))</f>
        <v/>
      </c>
      <c r="Z135" s="20"/>
      <c r="AA135" s="28" t="str">
        <f>IF($F135="","",IF($M135="","Missing expiry",IF($N135&lt;0,"Expired",IF($N135&lt;=Settings!$B$2,"Urgent",IF($N135&lt;=Settings!$B$3,"Review","Active")))))</f>
        <v/>
      </c>
      <c r="AB135" s="28" t="str">
        <f>IF($F135="","",IF($X135="","",IF($Y135&lt;0,"Past EOL",IF($Y135&lt;=Settings!$B$4,"EOL soon","Supported"))))</f>
        <v/>
      </c>
      <c r="AC135" s="28" t="str">
        <f t="shared" ref="AC135:AC198" si="18">IF($F135="","",IF(OR($AA135="Expired",$AA135="Urgent",$AB135="Past EOL",$AB135="EOL soon"),"Yes","No"))</f>
        <v/>
      </c>
      <c r="AD135" s="20"/>
      <c r="AE135" s="22"/>
      <c r="AF135" s="21"/>
      <c r="AG135" s="21"/>
    </row>
    <row r="136" spans="1:33">
      <c r="A136" s="20"/>
      <c r="B136" s="20"/>
      <c r="C136" s="44"/>
      <c r="D136" s="44"/>
      <c r="E136" s="20"/>
      <c r="F136" s="21"/>
      <c r="G136" s="21"/>
      <c r="H136" s="20"/>
      <c r="I136" s="20"/>
      <c r="J136" s="20"/>
      <c r="K136" s="21"/>
      <c r="L136" s="22"/>
      <c r="M136" s="22"/>
      <c r="N136" s="23" t="str">
        <f t="shared" ca="1" si="13"/>
        <v/>
      </c>
      <c r="O136" s="20"/>
      <c r="P136" s="20"/>
      <c r="Q136" s="24"/>
      <c r="R136" s="24"/>
      <c r="S136" s="23" t="str">
        <f t="shared" si="14"/>
        <v/>
      </c>
      <c r="T136" s="25" t="str">
        <f t="shared" si="15"/>
        <v/>
      </c>
      <c r="U136" s="26"/>
      <c r="V136" s="20"/>
      <c r="W136" s="27" t="str">
        <f t="shared" si="16"/>
        <v/>
      </c>
      <c r="X136" s="22"/>
      <c r="Y136" s="23" t="str">
        <f t="shared" ca="1" si="17"/>
        <v/>
      </c>
      <c r="Z136" s="20"/>
      <c r="AA136" s="28" t="str">
        <f>IF($F136="","",IF($M136="","Missing expiry",IF($N136&lt;0,"Expired",IF($N136&lt;=Settings!$B$2,"Urgent",IF($N136&lt;=Settings!$B$3,"Review","Active")))))</f>
        <v/>
      </c>
      <c r="AB136" s="28" t="str">
        <f>IF($F136="","",IF($X136="","",IF($Y136&lt;0,"Past EOL",IF($Y136&lt;=Settings!$B$4,"EOL soon","Supported"))))</f>
        <v/>
      </c>
      <c r="AC136" s="28" t="str">
        <f t="shared" si="18"/>
        <v/>
      </c>
      <c r="AD136" s="20"/>
      <c r="AE136" s="22"/>
      <c r="AF136" s="21"/>
      <c r="AG136" s="21"/>
    </row>
    <row r="137" spans="1:33">
      <c r="A137" s="20"/>
      <c r="B137" s="20"/>
      <c r="C137" s="44"/>
      <c r="D137" s="44"/>
      <c r="E137" s="20"/>
      <c r="F137" s="21"/>
      <c r="G137" s="21"/>
      <c r="H137" s="20"/>
      <c r="I137" s="20"/>
      <c r="J137" s="20"/>
      <c r="K137" s="21"/>
      <c r="L137" s="22"/>
      <c r="M137" s="22"/>
      <c r="N137" s="23" t="str">
        <f t="shared" ca="1" si="13"/>
        <v/>
      </c>
      <c r="O137" s="20"/>
      <c r="P137" s="20"/>
      <c r="Q137" s="24"/>
      <c r="R137" s="24"/>
      <c r="S137" s="23" t="str">
        <f t="shared" si="14"/>
        <v/>
      </c>
      <c r="T137" s="25" t="str">
        <f t="shared" si="15"/>
        <v/>
      </c>
      <c r="U137" s="26"/>
      <c r="V137" s="20"/>
      <c r="W137" s="27" t="str">
        <f t="shared" si="16"/>
        <v/>
      </c>
      <c r="X137" s="22"/>
      <c r="Y137" s="23" t="str">
        <f t="shared" ca="1" si="17"/>
        <v/>
      </c>
      <c r="Z137" s="20"/>
      <c r="AA137" s="28" t="str">
        <f>IF($F137="","",IF($M137="","Missing expiry",IF($N137&lt;0,"Expired",IF($N137&lt;=Settings!$B$2,"Urgent",IF($N137&lt;=Settings!$B$3,"Review","Active")))))</f>
        <v/>
      </c>
      <c r="AB137" s="28" t="str">
        <f>IF($F137="","",IF($X137="","",IF($Y137&lt;0,"Past EOL",IF($Y137&lt;=Settings!$B$4,"EOL soon","Supported"))))</f>
        <v/>
      </c>
      <c r="AC137" s="28" t="str">
        <f t="shared" si="18"/>
        <v/>
      </c>
      <c r="AD137" s="20"/>
      <c r="AE137" s="22"/>
      <c r="AF137" s="21"/>
      <c r="AG137" s="21"/>
    </row>
    <row r="138" spans="1:33">
      <c r="A138" s="20"/>
      <c r="B138" s="20"/>
      <c r="C138" s="44"/>
      <c r="D138" s="44"/>
      <c r="E138" s="20"/>
      <c r="F138" s="21"/>
      <c r="G138" s="21"/>
      <c r="H138" s="20"/>
      <c r="I138" s="20"/>
      <c r="J138" s="20"/>
      <c r="K138" s="21"/>
      <c r="L138" s="22"/>
      <c r="M138" s="22"/>
      <c r="N138" s="23" t="str">
        <f t="shared" ca="1" si="13"/>
        <v/>
      </c>
      <c r="O138" s="20"/>
      <c r="P138" s="20"/>
      <c r="Q138" s="24"/>
      <c r="R138" s="24"/>
      <c r="S138" s="23" t="str">
        <f t="shared" si="14"/>
        <v/>
      </c>
      <c r="T138" s="25" t="str">
        <f t="shared" si="15"/>
        <v/>
      </c>
      <c r="U138" s="26"/>
      <c r="V138" s="20"/>
      <c r="W138" s="27" t="str">
        <f t="shared" si="16"/>
        <v/>
      </c>
      <c r="X138" s="22"/>
      <c r="Y138" s="23" t="str">
        <f t="shared" ca="1" si="17"/>
        <v/>
      </c>
      <c r="Z138" s="20"/>
      <c r="AA138" s="28" t="str">
        <f>IF($F138="","",IF($M138="","Missing expiry",IF($N138&lt;0,"Expired",IF($N138&lt;=Settings!$B$2,"Urgent",IF($N138&lt;=Settings!$B$3,"Review","Active")))))</f>
        <v/>
      </c>
      <c r="AB138" s="28" t="str">
        <f>IF($F138="","",IF($X138="","",IF($Y138&lt;0,"Past EOL",IF($Y138&lt;=Settings!$B$4,"EOL soon","Supported"))))</f>
        <v/>
      </c>
      <c r="AC138" s="28" t="str">
        <f t="shared" si="18"/>
        <v/>
      </c>
      <c r="AD138" s="20"/>
      <c r="AE138" s="22"/>
      <c r="AF138" s="21"/>
      <c r="AG138" s="21"/>
    </row>
    <row r="139" spans="1:33">
      <c r="A139" s="20"/>
      <c r="B139" s="20"/>
      <c r="C139" s="44"/>
      <c r="D139" s="44"/>
      <c r="E139" s="20"/>
      <c r="F139" s="21"/>
      <c r="G139" s="21"/>
      <c r="H139" s="20"/>
      <c r="I139" s="20"/>
      <c r="J139" s="20"/>
      <c r="K139" s="21"/>
      <c r="L139" s="22"/>
      <c r="M139" s="22"/>
      <c r="N139" s="23" t="str">
        <f t="shared" ca="1" si="13"/>
        <v/>
      </c>
      <c r="O139" s="20"/>
      <c r="P139" s="20"/>
      <c r="Q139" s="24"/>
      <c r="R139" s="24"/>
      <c r="S139" s="23" t="str">
        <f t="shared" si="14"/>
        <v/>
      </c>
      <c r="T139" s="25" t="str">
        <f t="shared" si="15"/>
        <v/>
      </c>
      <c r="U139" s="26"/>
      <c r="V139" s="20"/>
      <c r="W139" s="27" t="str">
        <f t="shared" si="16"/>
        <v/>
      </c>
      <c r="X139" s="22"/>
      <c r="Y139" s="23" t="str">
        <f t="shared" ca="1" si="17"/>
        <v/>
      </c>
      <c r="Z139" s="20"/>
      <c r="AA139" s="28" t="str">
        <f>IF($F139="","",IF($M139="","Missing expiry",IF($N139&lt;0,"Expired",IF($N139&lt;=Settings!$B$2,"Urgent",IF($N139&lt;=Settings!$B$3,"Review","Active")))))</f>
        <v/>
      </c>
      <c r="AB139" s="28" t="str">
        <f>IF($F139="","",IF($X139="","",IF($Y139&lt;0,"Past EOL",IF($Y139&lt;=Settings!$B$4,"EOL soon","Supported"))))</f>
        <v/>
      </c>
      <c r="AC139" s="28" t="str">
        <f t="shared" si="18"/>
        <v/>
      </c>
      <c r="AD139" s="20"/>
      <c r="AE139" s="22"/>
      <c r="AF139" s="21"/>
      <c r="AG139" s="21"/>
    </row>
    <row r="140" spans="1:33">
      <c r="A140" s="20"/>
      <c r="B140" s="20"/>
      <c r="C140" s="44"/>
      <c r="D140" s="44"/>
      <c r="E140" s="20"/>
      <c r="F140" s="21"/>
      <c r="G140" s="21"/>
      <c r="H140" s="20"/>
      <c r="I140" s="20"/>
      <c r="J140" s="20"/>
      <c r="K140" s="21"/>
      <c r="L140" s="22"/>
      <c r="M140" s="22"/>
      <c r="N140" s="23" t="str">
        <f t="shared" ca="1" si="13"/>
        <v/>
      </c>
      <c r="O140" s="20"/>
      <c r="P140" s="20"/>
      <c r="Q140" s="24"/>
      <c r="R140" s="24"/>
      <c r="S140" s="23" t="str">
        <f t="shared" si="14"/>
        <v/>
      </c>
      <c r="T140" s="25" t="str">
        <f t="shared" si="15"/>
        <v/>
      </c>
      <c r="U140" s="26"/>
      <c r="V140" s="20"/>
      <c r="W140" s="27" t="str">
        <f t="shared" si="16"/>
        <v/>
      </c>
      <c r="X140" s="22"/>
      <c r="Y140" s="23" t="str">
        <f t="shared" ca="1" si="17"/>
        <v/>
      </c>
      <c r="Z140" s="20"/>
      <c r="AA140" s="28" t="str">
        <f>IF($F140="","",IF($M140="","Missing expiry",IF($N140&lt;0,"Expired",IF($N140&lt;=Settings!$B$2,"Urgent",IF($N140&lt;=Settings!$B$3,"Review","Active")))))</f>
        <v/>
      </c>
      <c r="AB140" s="28" t="str">
        <f>IF($F140="","",IF($X140="","",IF($Y140&lt;0,"Past EOL",IF($Y140&lt;=Settings!$B$4,"EOL soon","Supported"))))</f>
        <v/>
      </c>
      <c r="AC140" s="28" t="str">
        <f t="shared" si="18"/>
        <v/>
      </c>
      <c r="AD140" s="20"/>
      <c r="AE140" s="22"/>
      <c r="AF140" s="21"/>
      <c r="AG140" s="21"/>
    </row>
    <row r="141" spans="1:33">
      <c r="A141" s="20"/>
      <c r="B141" s="20"/>
      <c r="C141" s="44"/>
      <c r="D141" s="44"/>
      <c r="E141" s="20"/>
      <c r="F141" s="21"/>
      <c r="G141" s="21"/>
      <c r="H141" s="20"/>
      <c r="I141" s="20"/>
      <c r="J141" s="20"/>
      <c r="K141" s="21"/>
      <c r="L141" s="22"/>
      <c r="M141" s="22"/>
      <c r="N141" s="23" t="str">
        <f t="shared" ca="1" si="13"/>
        <v/>
      </c>
      <c r="O141" s="20"/>
      <c r="P141" s="20"/>
      <c r="Q141" s="24"/>
      <c r="R141" s="24"/>
      <c r="S141" s="23" t="str">
        <f t="shared" si="14"/>
        <v/>
      </c>
      <c r="T141" s="25" t="str">
        <f t="shared" si="15"/>
        <v/>
      </c>
      <c r="U141" s="26"/>
      <c r="V141" s="20"/>
      <c r="W141" s="27" t="str">
        <f t="shared" si="16"/>
        <v/>
      </c>
      <c r="X141" s="22"/>
      <c r="Y141" s="23" t="str">
        <f t="shared" ca="1" si="17"/>
        <v/>
      </c>
      <c r="Z141" s="20"/>
      <c r="AA141" s="28" t="str">
        <f>IF($F141="","",IF($M141="","Missing expiry",IF($N141&lt;0,"Expired",IF($N141&lt;=Settings!$B$2,"Urgent",IF($N141&lt;=Settings!$B$3,"Review","Active")))))</f>
        <v/>
      </c>
      <c r="AB141" s="28" t="str">
        <f>IF($F141="","",IF($X141="","",IF($Y141&lt;0,"Past EOL",IF($Y141&lt;=Settings!$B$4,"EOL soon","Supported"))))</f>
        <v/>
      </c>
      <c r="AC141" s="28" t="str">
        <f t="shared" si="18"/>
        <v/>
      </c>
      <c r="AD141" s="20"/>
      <c r="AE141" s="22"/>
      <c r="AF141" s="21"/>
      <c r="AG141" s="21"/>
    </row>
    <row r="142" spans="1:33">
      <c r="A142" s="20"/>
      <c r="B142" s="20"/>
      <c r="C142" s="44"/>
      <c r="D142" s="44"/>
      <c r="E142" s="20"/>
      <c r="F142" s="21"/>
      <c r="G142" s="21"/>
      <c r="H142" s="20"/>
      <c r="I142" s="20"/>
      <c r="J142" s="20"/>
      <c r="K142" s="21"/>
      <c r="L142" s="22"/>
      <c r="M142" s="22"/>
      <c r="N142" s="23" t="str">
        <f t="shared" ca="1" si="13"/>
        <v/>
      </c>
      <c r="O142" s="20"/>
      <c r="P142" s="20"/>
      <c r="Q142" s="24"/>
      <c r="R142" s="24"/>
      <c r="S142" s="23" t="str">
        <f t="shared" si="14"/>
        <v/>
      </c>
      <c r="T142" s="25" t="str">
        <f t="shared" si="15"/>
        <v/>
      </c>
      <c r="U142" s="26"/>
      <c r="V142" s="20"/>
      <c r="W142" s="27" t="str">
        <f t="shared" si="16"/>
        <v/>
      </c>
      <c r="X142" s="22"/>
      <c r="Y142" s="23" t="str">
        <f t="shared" ca="1" si="17"/>
        <v/>
      </c>
      <c r="Z142" s="20"/>
      <c r="AA142" s="28" t="str">
        <f>IF($F142="","",IF($M142="","Missing expiry",IF($N142&lt;0,"Expired",IF($N142&lt;=Settings!$B$2,"Urgent",IF($N142&lt;=Settings!$B$3,"Review","Active")))))</f>
        <v/>
      </c>
      <c r="AB142" s="28" t="str">
        <f>IF($F142="","",IF($X142="","",IF($Y142&lt;0,"Past EOL",IF($Y142&lt;=Settings!$B$4,"EOL soon","Supported"))))</f>
        <v/>
      </c>
      <c r="AC142" s="28" t="str">
        <f t="shared" si="18"/>
        <v/>
      </c>
      <c r="AD142" s="20"/>
      <c r="AE142" s="22"/>
      <c r="AF142" s="21"/>
      <c r="AG142" s="21"/>
    </row>
    <row r="143" spans="1:33">
      <c r="A143" s="20"/>
      <c r="B143" s="20"/>
      <c r="C143" s="44"/>
      <c r="D143" s="44"/>
      <c r="E143" s="20"/>
      <c r="F143" s="21"/>
      <c r="G143" s="21"/>
      <c r="H143" s="20"/>
      <c r="I143" s="20"/>
      <c r="J143" s="20"/>
      <c r="K143" s="21"/>
      <c r="L143" s="22"/>
      <c r="M143" s="22"/>
      <c r="N143" s="23" t="str">
        <f t="shared" ca="1" si="13"/>
        <v/>
      </c>
      <c r="O143" s="20"/>
      <c r="P143" s="20"/>
      <c r="Q143" s="24"/>
      <c r="R143" s="24"/>
      <c r="S143" s="23" t="str">
        <f t="shared" si="14"/>
        <v/>
      </c>
      <c r="T143" s="25" t="str">
        <f t="shared" si="15"/>
        <v/>
      </c>
      <c r="U143" s="26"/>
      <c r="V143" s="20"/>
      <c r="W143" s="27" t="str">
        <f t="shared" si="16"/>
        <v/>
      </c>
      <c r="X143" s="22"/>
      <c r="Y143" s="23" t="str">
        <f t="shared" ca="1" si="17"/>
        <v/>
      </c>
      <c r="Z143" s="20"/>
      <c r="AA143" s="28" t="str">
        <f>IF($F143="","",IF($M143="","Missing expiry",IF($N143&lt;0,"Expired",IF($N143&lt;=Settings!$B$2,"Urgent",IF($N143&lt;=Settings!$B$3,"Review","Active")))))</f>
        <v/>
      </c>
      <c r="AB143" s="28" t="str">
        <f>IF($F143="","",IF($X143="","",IF($Y143&lt;0,"Past EOL",IF($Y143&lt;=Settings!$B$4,"EOL soon","Supported"))))</f>
        <v/>
      </c>
      <c r="AC143" s="28" t="str">
        <f t="shared" si="18"/>
        <v/>
      </c>
      <c r="AD143" s="20"/>
      <c r="AE143" s="22"/>
      <c r="AF143" s="21"/>
      <c r="AG143" s="21"/>
    </row>
    <row r="144" spans="1:33">
      <c r="A144" s="20"/>
      <c r="B144" s="20"/>
      <c r="C144" s="44"/>
      <c r="D144" s="44"/>
      <c r="E144" s="20"/>
      <c r="F144" s="21"/>
      <c r="G144" s="21"/>
      <c r="H144" s="20"/>
      <c r="I144" s="20"/>
      <c r="J144" s="20"/>
      <c r="K144" s="21"/>
      <c r="L144" s="22"/>
      <c r="M144" s="22"/>
      <c r="N144" s="23" t="str">
        <f t="shared" ca="1" si="13"/>
        <v/>
      </c>
      <c r="O144" s="20"/>
      <c r="P144" s="20"/>
      <c r="Q144" s="24"/>
      <c r="R144" s="24"/>
      <c r="S144" s="23" t="str">
        <f t="shared" si="14"/>
        <v/>
      </c>
      <c r="T144" s="25" t="str">
        <f t="shared" si="15"/>
        <v/>
      </c>
      <c r="U144" s="26"/>
      <c r="V144" s="20"/>
      <c r="W144" s="27" t="str">
        <f t="shared" si="16"/>
        <v/>
      </c>
      <c r="X144" s="22"/>
      <c r="Y144" s="23" t="str">
        <f t="shared" ca="1" si="17"/>
        <v/>
      </c>
      <c r="Z144" s="20"/>
      <c r="AA144" s="28" t="str">
        <f>IF($F144="","",IF($M144="","Missing expiry",IF($N144&lt;0,"Expired",IF($N144&lt;=Settings!$B$2,"Urgent",IF($N144&lt;=Settings!$B$3,"Review","Active")))))</f>
        <v/>
      </c>
      <c r="AB144" s="28" t="str">
        <f>IF($F144="","",IF($X144="","",IF($Y144&lt;0,"Past EOL",IF($Y144&lt;=Settings!$B$4,"EOL soon","Supported"))))</f>
        <v/>
      </c>
      <c r="AC144" s="28" t="str">
        <f t="shared" si="18"/>
        <v/>
      </c>
      <c r="AD144" s="20"/>
      <c r="AE144" s="22"/>
      <c r="AF144" s="21"/>
      <c r="AG144" s="21"/>
    </row>
    <row r="145" spans="1:33">
      <c r="A145" s="20"/>
      <c r="B145" s="20"/>
      <c r="C145" s="44"/>
      <c r="D145" s="44"/>
      <c r="E145" s="20"/>
      <c r="F145" s="21"/>
      <c r="G145" s="21"/>
      <c r="H145" s="20"/>
      <c r="I145" s="20"/>
      <c r="J145" s="20"/>
      <c r="K145" s="21"/>
      <c r="L145" s="22"/>
      <c r="M145" s="22"/>
      <c r="N145" s="23" t="str">
        <f t="shared" ca="1" si="13"/>
        <v/>
      </c>
      <c r="O145" s="20"/>
      <c r="P145" s="20"/>
      <c r="Q145" s="24"/>
      <c r="R145" s="24"/>
      <c r="S145" s="23" t="str">
        <f t="shared" si="14"/>
        <v/>
      </c>
      <c r="T145" s="25" t="str">
        <f t="shared" si="15"/>
        <v/>
      </c>
      <c r="U145" s="26"/>
      <c r="V145" s="20"/>
      <c r="W145" s="27" t="str">
        <f t="shared" si="16"/>
        <v/>
      </c>
      <c r="X145" s="22"/>
      <c r="Y145" s="23" t="str">
        <f t="shared" ca="1" si="17"/>
        <v/>
      </c>
      <c r="Z145" s="20"/>
      <c r="AA145" s="28" t="str">
        <f>IF($F145="","",IF($M145="","Missing expiry",IF($N145&lt;0,"Expired",IF($N145&lt;=Settings!$B$2,"Urgent",IF($N145&lt;=Settings!$B$3,"Review","Active")))))</f>
        <v/>
      </c>
      <c r="AB145" s="28" t="str">
        <f>IF($F145="","",IF($X145="","",IF($Y145&lt;0,"Past EOL",IF($Y145&lt;=Settings!$B$4,"EOL soon","Supported"))))</f>
        <v/>
      </c>
      <c r="AC145" s="28" t="str">
        <f t="shared" si="18"/>
        <v/>
      </c>
      <c r="AD145" s="20"/>
      <c r="AE145" s="22"/>
      <c r="AF145" s="21"/>
      <c r="AG145" s="21"/>
    </row>
    <row r="146" spans="1:33">
      <c r="A146" s="20"/>
      <c r="B146" s="20"/>
      <c r="C146" s="44"/>
      <c r="D146" s="44"/>
      <c r="E146" s="20"/>
      <c r="F146" s="21"/>
      <c r="G146" s="21"/>
      <c r="H146" s="20"/>
      <c r="I146" s="20"/>
      <c r="J146" s="20"/>
      <c r="K146" s="21"/>
      <c r="L146" s="22"/>
      <c r="M146" s="22"/>
      <c r="N146" s="23" t="str">
        <f t="shared" ca="1" si="13"/>
        <v/>
      </c>
      <c r="O146" s="20"/>
      <c r="P146" s="20"/>
      <c r="Q146" s="24"/>
      <c r="R146" s="24"/>
      <c r="S146" s="23" t="str">
        <f t="shared" si="14"/>
        <v/>
      </c>
      <c r="T146" s="25" t="str">
        <f t="shared" si="15"/>
        <v/>
      </c>
      <c r="U146" s="26"/>
      <c r="V146" s="20"/>
      <c r="W146" s="27" t="str">
        <f t="shared" si="16"/>
        <v/>
      </c>
      <c r="X146" s="22"/>
      <c r="Y146" s="23" t="str">
        <f t="shared" ca="1" si="17"/>
        <v/>
      </c>
      <c r="Z146" s="20"/>
      <c r="AA146" s="28" t="str">
        <f>IF($F146="","",IF($M146="","Missing expiry",IF($N146&lt;0,"Expired",IF($N146&lt;=Settings!$B$2,"Urgent",IF($N146&lt;=Settings!$B$3,"Review","Active")))))</f>
        <v/>
      </c>
      <c r="AB146" s="28" t="str">
        <f>IF($F146="","",IF($X146="","",IF($Y146&lt;0,"Past EOL",IF($Y146&lt;=Settings!$B$4,"EOL soon","Supported"))))</f>
        <v/>
      </c>
      <c r="AC146" s="28" t="str">
        <f t="shared" si="18"/>
        <v/>
      </c>
      <c r="AD146" s="20"/>
      <c r="AE146" s="22"/>
      <c r="AF146" s="21"/>
      <c r="AG146" s="21"/>
    </row>
    <row r="147" spans="1:33">
      <c r="A147" s="20"/>
      <c r="B147" s="20"/>
      <c r="C147" s="44"/>
      <c r="D147" s="44"/>
      <c r="E147" s="20"/>
      <c r="F147" s="21"/>
      <c r="G147" s="21"/>
      <c r="H147" s="20"/>
      <c r="I147" s="20"/>
      <c r="J147" s="20"/>
      <c r="K147" s="21"/>
      <c r="L147" s="22"/>
      <c r="M147" s="22"/>
      <c r="N147" s="23" t="str">
        <f t="shared" ca="1" si="13"/>
        <v/>
      </c>
      <c r="O147" s="20"/>
      <c r="P147" s="20"/>
      <c r="Q147" s="24"/>
      <c r="R147" s="24"/>
      <c r="S147" s="23" t="str">
        <f t="shared" si="14"/>
        <v/>
      </c>
      <c r="T147" s="25" t="str">
        <f t="shared" si="15"/>
        <v/>
      </c>
      <c r="U147" s="26"/>
      <c r="V147" s="20"/>
      <c r="W147" s="27" t="str">
        <f t="shared" si="16"/>
        <v/>
      </c>
      <c r="X147" s="22"/>
      <c r="Y147" s="23" t="str">
        <f t="shared" ca="1" si="17"/>
        <v/>
      </c>
      <c r="Z147" s="20"/>
      <c r="AA147" s="28" t="str">
        <f>IF($F147="","",IF($M147="","Missing expiry",IF($N147&lt;0,"Expired",IF($N147&lt;=Settings!$B$2,"Urgent",IF($N147&lt;=Settings!$B$3,"Review","Active")))))</f>
        <v/>
      </c>
      <c r="AB147" s="28" t="str">
        <f>IF($F147="","",IF($X147="","",IF($Y147&lt;0,"Past EOL",IF($Y147&lt;=Settings!$B$4,"EOL soon","Supported"))))</f>
        <v/>
      </c>
      <c r="AC147" s="28" t="str">
        <f t="shared" si="18"/>
        <v/>
      </c>
      <c r="AD147" s="20"/>
      <c r="AE147" s="22"/>
      <c r="AF147" s="21"/>
      <c r="AG147" s="21"/>
    </row>
    <row r="148" spans="1:33">
      <c r="A148" s="20"/>
      <c r="B148" s="20"/>
      <c r="C148" s="44"/>
      <c r="D148" s="44"/>
      <c r="E148" s="20"/>
      <c r="F148" s="21"/>
      <c r="G148" s="21"/>
      <c r="H148" s="20"/>
      <c r="I148" s="20"/>
      <c r="J148" s="20"/>
      <c r="K148" s="21"/>
      <c r="L148" s="22"/>
      <c r="M148" s="22"/>
      <c r="N148" s="23" t="str">
        <f t="shared" ca="1" si="13"/>
        <v/>
      </c>
      <c r="O148" s="20"/>
      <c r="P148" s="20"/>
      <c r="Q148" s="24"/>
      <c r="R148" s="24"/>
      <c r="S148" s="23" t="str">
        <f t="shared" si="14"/>
        <v/>
      </c>
      <c r="T148" s="25" t="str">
        <f t="shared" si="15"/>
        <v/>
      </c>
      <c r="U148" s="26"/>
      <c r="V148" s="20"/>
      <c r="W148" s="27" t="str">
        <f t="shared" si="16"/>
        <v/>
      </c>
      <c r="X148" s="22"/>
      <c r="Y148" s="23" t="str">
        <f t="shared" ca="1" si="17"/>
        <v/>
      </c>
      <c r="Z148" s="20"/>
      <c r="AA148" s="28" t="str">
        <f>IF($F148="","",IF($M148="","Missing expiry",IF($N148&lt;0,"Expired",IF($N148&lt;=Settings!$B$2,"Urgent",IF($N148&lt;=Settings!$B$3,"Review","Active")))))</f>
        <v/>
      </c>
      <c r="AB148" s="28" t="str">
        <f>IF($F148="","",IF($X148="","",IF($Y148&lt;0,"Past EOL",IF($Y148&lt;=Settings!$B$4,"EOL soon","Supported"))))</f>
        <v/>
      </c>
      <c r="AC148" s="28" t="str">
        <f t="shared" si="18"/>
        <v/>
      </c>
      <c r="AD148" s="20"/>
      <c r="AE148" s="22"/>
      <c r="AF148" s="21"/>
      <c r="AG148" s="21"/>
    </row>
    <row r="149" spans="1:33">
      <c r="A149" s="20"/>
      <c r="B149" s="20"/>
      <c r="C149" s="44"/>
      <c r="D149" s="44"/>
      <c r="E149" s="20"/>
      <c r="F149" s="21"/>
      <c r="G149" s="21"/>
      <c r="H149" s="20"/>
      <c r="I149" s="20"/>
      <c r="J149" s="20"/>
      <c r="K149" s="21"/>
      <c r="L149" s="22"/>
      <c r="M149" s="22"/>
      <c r="N149" s="23" t="str">
        <f t="shared" ca="1" si="13"/>
        <v/>
      </c>
      <c r="O149" s="20"/>
      <c r="P149" s="20"/>
      <c r="Q149" s="24"/>
      <c r="R149" s="24"/>
      <c r="S149" s="23" t="str">
        <f t="shared" si="14"/>
        <v/>
      </c>
      <c r="T149" s="25" t="str">
        <f t="shared" si="15"/>
        <v/>
      </c>
      <c r="U149" s="26"/>
      <c r="V149" s="20"/>
      <c r="W149" s="27" t="str">
        <f t="shared" si="16"/>
        <v/>
      </c>
      <c r="X149" s="22"/>
      <c r="Y149" s="23" t="str">
        <f t="shared" ca="1" si="17"/>
        <v/>
      </c>
      <c r="Z149" s="20"/>
      <c r="AA149" s="28" t="str">
        <f>IF($F149="","",IF($M149="","Missing expiry",IF($N149&lt;0,"Expired",IF($N149&lt;=Settings!$B$2,"Urgent",IF($N149&lt;=Settings!$B$3,"Review","Active")))))</f>
        <v/>
      </c>
      <c r="AB149" s="28" t="str">
        <f>IF($F149="","",IF($X149="","",IF($Y149&lt;0,"Past EOL",IF($Y149&lt;=Settings!$B$4,"EOL soon","Supported"))))</f>
        <v/>
      </c>
      <c r="AC149" s="28" t="str">
        <f t="shared" si="18"/>
        <v/>
      </c>
      <c r="AD149" s="20"/>
      <c r="AE149" s="22"/>
      <c r="AF149" s="21"/>
      <c r="AG149" s="21"/>
    </row>
    <row r="150" spans="1:33">
      <c r="A150" s="20"/>
      <c r="B150" s="20"/>
      <c r="C150" s="44"/>
      <c r="D150" s="44"/>
      <c r="E150" s="20"/>
      <c r="F150" s="21"/>
      <c r="G150" s="21"/>
      <c r="H150" s="20"/>
      <c r="I150" s="20"/>
      <c r="J150" s="20"/>
      <c r="K150" s="21"/>
      <c r="L150" s="22"/>
      <c r="M150" s="22"/>
      <c r="N150" s="23" t="str">
        <f t="shared" ca="1" si="13"/>
        <v/>
      </c>
      <c r="O150" s="20"/>
      <c r="P150" s="20"/>
      <c r="Q150" s="24"/>
      <c r="R150" s="24"/>
      <c r="S150" s="23" t="str">
        <f t="shared" si="14"/>
        <v/>
      </c>
      <c r="T150" s="25" t="str">
        <f t="shared" si="15"/>
        <v/>
      </c>
      <c r="U150" s="26"/>
      <c r="V150" s="20"/>
      <c r="W150" s="27" t="str">
        <f t="shared" si="16"/>
        <v/>
      </c>
      <c r="X150" s="22"/>
      <c r="Y150" s="23" t="str">
        <f t="shared" ca="1" si="17"/>
        <v/>
      </c>
      <c r="Z150" s="20"/>
      <c r="AA150" s="28" t="str">
        <f>IF($F150="","",IF($M150="","Missing expiry",IF($N150&lt;0,"Expired",IF($N150&lt;=Settings!$B$2,"Urgent",IF($N150&lt;=Settings!$B$3,"Review","Active")))))</f>
        <v/>
      </c>
      <c r="AB150" s="28" t="str">
        <f>IF($F150="","",IF($X150="","",IF($Y150&lt;0,"Past EOL",IF($Y150&lt;=Settings!$B$4,"EOL soon","Supported"))))</f>
        <v/>
      </c>
      <c r="AC150" s="28" t="str">
        <f t="shared" si="18"/>
        <v/>
      </c>
      <c r="AD150" s="20"/>
      <c r="AE150" s="22"/>
      <c r="AF150" s="21"/>
      <c r="AG150" s="21"/>
    </row>
    <row r="151" spans="1:33">
      <c r="A151" s="20"/>
      <c r="B151" s="20"/>
      <c r="C151" s="44"/>
      <c r="D151" s="44"/>
      <c r="E151" s="20"/>
      <c r="F151" s="21"/>
      <c r="G151" s="21"/>
      <c r="H151" s="20"/>
      <c r="I151" s="20"/>
      <c r="J151" s="20"/>
      <c r="K151" s="21"/>
      <c r="L151" s="22"/>
      <c r="M151" s="22"/>
      <c r="N151" s="23" t="str">
        <f t="shared" ca="1" si="13"/>
        <v/>
      </c>
      <c r="O151" s="20"/>
      <c r="P151" s="20"/>
      <c r="Q151" s="24"/>
      <c r="R151" s="24"/>
      <c r="S151" s="23" t="str">
        <f t="shared" si="14"/>
        <v/>
      </c>
      <c r="T151" s="25" t="str">
        <f t="shared" si="15"/>
        <v/>
      </c>
      <c r="U151" s="26"/>
      <c r="V151" s="20"/>
      <c r="W151" s="27" t="str">
        <f t="shared" si="16"/>
        <v/>
      </c>
      <c r="X151" s="22"/>
      <c r="Y151" s="23" t="str">
        <f t="shared" ca="1" si="17"/>
        <v/>
      </c>
      <c r="Z151" s="20"/>
      <c r="AA151" s="28" t="str">
        <f>IF($F151="","",IF($M151="","Missing expiry",IF($N151&lt;0,"Expired",IF($N151&lt;=Settings!$B$2,"Urgent",IF($N151&lt;=Settings!$B$3,"Review","Active")))))</f>
        <v/>
      </c>
      <c r="AB151" s="28" t="str">
        <f>IF($F151="","",IF($X151="","",IF($Y151&lt;0,"Past EOL",IF($Y151&lt;=Settings!$B$4,"EOL soon","Supported"))))</f>
        <v/>
      </c>
      <c r="AC151" s="28" t="str">
        <f t="shared" si="18"/>
        <v/>
      </c>
      <c r="AD151" s="20"/>
      <c r="AE151" s="22"/>
      <c r="AF151" s="21"/>
      <c r="AG151" s="21"/>
    </row>
    <row r="152" spans="1:33">
      <c r="A152" s="20"/>
      <c r="B152" s="20"/>
      <c r="C152" s="44"/>
      <c r="D152" s="44"/>
      <c r="E152" s="20"/>
      <c r="F152" s="21"/>
      <c r="G152" s="21"/>
      <c r="H152" s="20"/>
      <c r="I152" s="20"/>
      <c r="J152" s="20"/>
      <c r="K152" s="21"/>
      <c r="L152" s="22"/>
      <c r="M152" s="22"/>
      <c r="N152" s="23" t="str">
        <f t="shared" ca="1" si="13"/>
        <v/>
      </c>
      <c r="O152" s="20"/>
      <c r="P152" s="20"/>
      <c r="Q152" s="24"/>
      <c r="R152" s="24"/>
      <c r="S152" s="23" t="str">
        <f t="shared" si="14"/>
        <v/>
      </c>
      <c r="T152" s="25" t="str">
        <f t="shared" si="15"/>
        <v/>
      </c>
      <c r="U152" s="26"/>
      <c r="V152" s="20"/>
      <c r="W152" s="27" t="str">
        <f t="shared" si="16"/>
        <v/>
      </c>
      <c r="X152" s="22"/>
      <c r="Y152" s="23" t="str">
        <f t="shared" ca="1" si="17"/>
        <v/>
      </c>
      <c r="Z152" s="20"/>
      <c r="AA152" s="28" t="str">
        <f>IF($F152="","",IF($M152="","Missing expiry",IF($N152&lt;0,"Expired",IF($N152&lt;=Settings!$B$2,"Urgent",IF($N152&lt;=Settings!$B$3,"Review","Active")))))</f>
        <v/>
      </c>
      <c r="AB152" s="28" t="str">
        <f>IF($F152="","",IF($X152="","",IF($Y152&lt;0,"Past EOL",IF($Y152&lt;=Settings!$B$4,"EOL soon","Supported"))))</f>
        <v/>
      </c>
      <c r="AC152" s="28" t="str">
        <f t="shared" si="18"/>
        <v/>
      </c>
      <c r="AD152" s="20"/>
      <c r="AE152" s="22"/>
      <c r="AF152" s="21"/>
      <c r="AG152" s="21"/>
    </row>
    <row r="153" spans="1:33">
      <c r="A153" s="20"/>
      <c r="B153" s="20"/>
      <c r="C153" s="44"/>
      <c r="D153" s="44"/>
      <c r="E153" s="20"/>
      <c r="F153" s="21"/>
      <c r="G153" s="21"/>
      <c r="H153" s="20"/>
      <c r="I153" s="20"/>
      <c r="J153" s="20"/>
      <c r="K153" s="21"/>
      <c r="L153" s="22"/>
      <c r="M153" s="22"/>
      <c r="N153" s="23" t="str">
        <f t="shared" ca="1" si="13"/>
        <v/>
      </c>
      <c r="O153" s="20"/>
      <c r="P153" s="20"/>
      <c r="Q153" s="24"/>
      <c r="R153" s="24"/>
      <c r="S153" s="23" t="str">
        <f t="shared" si="14"/>
        <v/>
      </c>
      <c r="T153" s="25" t="str">
        <f t="shared" si="15"/>
        <v/>
      </c>
      <c r="U153" s="26"/>
      <c r="V153" s="20"/>
      <c r="W153" s="27" t="str">
        <f t="shared" si="16"/>
        <v/>
      </c>
      <c r="X153" s="22"/>
      <c r="Y153" s="23" t="str">
        <f t="shared" ca="1" si="17"/>
        <v/>
      </c>
      <c r="Z153" s="20"/>
      <c r="AA153" s="28" t="str">
        <f>IF($F153="","",IF($M153="","Missing expiry",IF($N153&lt;0,"Expired",IF($N153&lt;=Settings!$B$2,"Urgent",IF($N153&lt;=Settings!$B$3,"Review","Active")))))</f>
        <v/>
      </c>
      <c r="AB153" s="28" t="str">
        <f>IF($F153="","",IF($X153="","",IF($Y153&lt;0,"Past EOL",IF($Y153&lt;=Settings!$B$4,"EOL soon","Supported"))))</f>
        <v/>
      </c>
      <c r="AC153" s="28" t="str">
        <f t="shared" si="18"/>
        <v/>
      </c>
      <c r="AD153" s="20"/>
      <c r="AE153" s="22"/>
      <c r="AF153" s="21"/>
      <c r="AG153" s="21"/>
    </row>
    <row r="154" spans="1:33">
      <c r="A154" s="20"/>
      <c r="B154" s="20"/>
      <c r="C154" s="44"/>
      <c r="D154" s="44"/>
      <c r="E154" s="20"/>
      <c r="F154" s="21"/>
      <c r="G154" s="21"/>
      <c r="H154" s="20"/>
      <c r="I154" s="20"/>
      <c r="J154" s="20"/>
      <c r="K154" s="21"/>
      <c r="L154" s="22"/>
      <c r="M154" s="22"/>
      <c r="N154" s="23" t="str">
        <f t="shared" ca="1" si="13"/>
        <v/>
      </c>
      <c r="O154" s="20"/>
      <c r="P154" s="20"/>
      <c r="Q154" s="24"/>
      <c r="R154" s="24"/>
      <c r="S154" s="23" t="str">
        <f t="shared" si="14"/>
        <v/>
      </c>
      <c r="T154" s="25" t="str">
        <f t="shared" si="15"/>
        <v/>
      </c>
      <c r="U154" s="26"/>
      <c r="V154" s="20"/>
      <c r="W154" s="27" t="str">
        <f t="shared" si="16"/>
        <v/>
      </c>
      <c r="X154" s="22"/>
      <c r="Y154" s="23" t="str">
        <f t="shared" ca="1" si="17"/>
        <v/>
      </c>
      <c r="Z154" s="20"/>
      <c r="AA154" s="28" t="str">
        <f>IF($F154="","",IF($M154="","Missing expiry",IF($N154&lt;0,"Expired",IF($N154&lt;=Settings!$B$2,"Urgent",IF($N154&lt;=Settings!$B$3,"Review","Active")))))</f>
        <v/>
      </c>
      <c r="AB154" s="28" t="str">
        <f>IF($F154="","",IF($X154="","",IF($Y154&lt;0,"Past EOL",IF($Y154&lt;=Settings!$B$4,"EOL soon","Supported"))))</f>
        <v/>
      </c>
      <c r="AC154" s="28" t="str">
        <f t="shared" si="18"/>
        <v/>
      </c>
      <c r="AD154" s="20"/>
      <c r="AE154" s="22"/>
      <c r="AF154" s="21"/>
      <c r="AG154" s="21"/>
    </row>
    <row r="155" spans="1:33">
      <c r="A155" s="20"/>
      <c r="B155" s="20"/>
      <c r="C155" s="44"/>
      <c r="D155" s="44"/>
      <c r="E155" s="20"/>
      <c r="F155" s="21"/>
      <c r="G155" s="21"/>
      <c r="H155" s="20"/>
      <c r="I155" s="20"/>
      <c r="J155" s="20"/>
      <c r="K155" s="21"/>
      <c r="L155" s="22"/>
      <c r="M155" s="22"/>
      <c r="N155" s="23" t="str">
        <f t="shared" ca="1" si="13"/>
        <v/>
      </c>
      <c r="O155" s="20"/>
      <c r="P155" s="20"/>
      <c r="Q155" s="24"/>
      <c r="R155" s="24"/>
      <c r="S155" s="23" t="str">
        <f t="shared" si="14"/>
        <v/>
      </c>
      <c r="T155" s="25" t="str">
        <f t="shared" si="15"/>
        <v/>
      </c>
      <c r="U155" s="26"/>
      <c r="V155" s="20"/>
      <c r="W155" s="27" t="str">
        <f t="shared" si="16"/>
        <v/>
      </c>
      <c r="X155" s="22"/>
      <c r="Y155" s="23" t="str">
        <f t="shared" ca="1" si="17"/>
        <v/>
      </c>
      <c r="Z155" s="20"/>
      <c r="AA155" s="28" t="str">
        <f>IF($F155="","",IF($M155="","Missing expiry",IF($N155&lt;0,"Expired",IF($N155&lt;=Settings!$B$2,"Urgent",IF($N155&lt;=Settings!$B$3,"Review","Active")))))</f>
        <v/>
      </c>
      <c r="AB155" s="28" t="str">
        <f>IF($F155="","",IF($X155="","",IF($Y155&lt;0,"Past EOL",IF($Y155&lt;=Settings!$B$4,"EOL soon","Supported"))))</f>
        <v/>
      </c>
      <c r="AC155" s="28" t="str">
        <f t="shared" si="18"/>
        <v/>
      </c>
      <c r="AD155" s="20"/>
      <c r="AE155" s="22"/>
      <c r="AF155" s="21"/>
      <c r="AG155" s="21"/>
    </row>
    <row r="156" spans="1:33">
      <c r="A156" s="20"/>
      <c r="B156" s="20"/>
      <c r="C156" s="44"/>
      <c r="D156" s="44"/>
      <c r="E156" s="20"/>
      <c r="F156" s="21"/>
      <c r="G156" s="21"/>
      <c r="H156" s="20"/>
      <c r="I156" s="20"/>
      <c r="J156" s="20"/>
      <c r="K156" s="21"/>
      <c r="L156" s="22"/>
      <c r="M156" s="22"/>
      <c r="N156" s="23" t="str">
        <f t="shared" ca="1" si="13"/>
        <v/>
      </c>
      <c r="O156" s="20"/>
      <c r="P156" s="20"/>
      <c r="Q156" s="24"/>
      <c r="R156" s="24"/>
      <c r="S156" s="23" t="str">
        <f t="shared" si="14"/>
        <v/>
      </c>
      <c r="T156" s="25" t="str">
        <f t="shared" si="15"/>
        <v/>
      </c>
      <c r="U156" s="26"/>
      <c r="V156" s="20"/>
      <c r="W156" s="27" t="str">
        <f t="shared" si="16"/>
        <v/>
      </c>
      <c r="X156" s="22"/>
      <c r="Y156" s="23" t="str">
        <f t="shared" ca="1" si="17"/>
        <v/>
      </c>
      <c r="Z156" s="20"/>
      <c r="AA156" s="28" t="str">
        <f>IF($F156="","",IF($M156="","Missing expiry",IF($N156&lt;0,"Expired",IF($N156&lt;=Settings!$B$2,"Urgent",IF($N156&lt;=Settings!$B$3,"Review","Active")))))</f>
        <v/>
      </c>
      <c r="AB156" s="28" t="str">
        <f>IF($F156="","",IF($X156="","",IF($Y156&lt;0,"Past EOL",IF($Y156&lt;=Settings!$B$4,"EOL soon","Supported"))))</f>
        <v/>
      </c>
      <c r="AC156" s="28" t="str">
        <f t="shared" si="18"/>
        <v/>
      </c>
      <c r="AD156" s="20"/>
      <c r="AE156" s="22"/>
      <c r="AF156" s="21"/>
      <c r="AG156" s="21"/>
    </row>
    <row r="157" spans="1:33">
      <c r="A157" s="20"/>
      <c r="B157" s="20"/>
      <c r="C157" s="44"/>
      <c r="D157" s="44"/>
      <c r="E157" s="20"/>
      <c r="F157" s="21"/>
      <c r="G157" s="21"/>
      <c r="H157" s="20"/>
      <c r="I157" s="20"/>
      <c r="J157" s="20"/>
      <c r="K157" s="21"/>
      <c r="L157" s="22"/>
      <c r="M157" s="22"/>
      <c r="N157" s="23" t="str">
        <f t="shared" ca="1" si="13"/>
        <v/>
      </c>
      <c r="O157" s="20"/>
      <c r="P157" s="20"/>
      <c r="Q157" s="24"/>
      <c r="R157" s="24"/>
      <c r="S157" s="23" t="str">
        <f t="shared" si="14"/>
        <v/>
      </c>
      <c r="T157" s="25" t="str">
        <f t="shared" si="15"/>
        <v/>
      </c>
      <c r="U157" s="26"/>
      <c r="V157" s="20"/>
      <c r="W157" s="27" t="str">
        <f t="shared" si="16"/>
        <v/>
      </c>
      <c r="X157" s="22"/>
      <c r="Y157" s="23" t="str">
        <f t="shared" ca="1" si="17"/>
        <v/>
      </c>
      <c r="Z157" s="20"/>
      <c r="AA157" s="28" t="str">
        <f>IF($F157="","",IF($M157="","Missing expiry",IF($N157&lt;0,"Expired",IF($N157&lt;=Settings!$B$2,"Urgent",IF($N157&lt;=Settings!$B$3,"Review","Active")))))</f>
        <v/>
      </c>
      <c r="AB157" s="28" t="str">
        <f>IF($F157="","",IF($X157="","",IF($Y157&lt;0,"Past EOL",IF($Y157&lt;=Settings!$B$4,"EOL soon","Supported"))))</f>
        <v/>
      </c>
      <c r="AC157" s="28" t="str">
        <f t="shared" si="18"/>
        <v/>
      </c>
      <c r="AD157" s="20"/>
      <c r="AE157" s="22"/>
      <c r="AF157" s="21"/>
      <c r="AG157" s="21"/>
    </row>
    <row r="158" spans="1:33">
      <c r="A158" s="20"/>
      <c r="B158" s="20"/>
      <c r="C158" s="44"/>
      <c r="D158" s="44"/>
      <c r="E158" s="20"/>
      <c r="F158" s="21"/>
      <c r="G158" s="21"/>
      <c r="H158" s="20"/>
      <c r="I158" s="20"/>
      <c r="J158" s="20"/>
      <c r="K158" s="21"/>
      <c r="L158" s="22"/>
      <c r="M158" s="22"/>
      <c r="N158" s="23" t="str">
        <f t="shared" ca="1" si="13"/>
        <v/>
      </c>
      <c r="O158" s="20"/>
      <c r="P158" s="20"/>
      <c r="Q158" s="24"/>
      <c r="R158" s="24"/>
      <c r="S158" s="23" t="str">
        <f t="shared" si="14"/>
        <v/>
      </c>
      <c r="T158" s="25" t="str">
        <f t="shared" si="15"/>
        <v/>
      </c>
      <c r="U158" s="26"/>
      <c r="V158" s="20"/>
      <c r="W158" s="27" t="str">
        <f t="shared" si="16"/>
        <v/>
      </c>
      <c r="X158" s="22"/>
      <c r="Y158" s="23" t="str">
        <f t="shared" ca="1" si="17"/>
        <v/>
      </c>
      <c r="Z158" s="20"/>
      <c r="AA158" s="28" t="str">
        <f>IF($F158="","",IF($M158="","Missing expiry",IF($N158&lt;0,"Expired",IF($N158&lt;=Settings!$B$2,"Urgent",IF($N158&lt;=Settings!$B$3,"Review","Active")))))</f>
        <v/>
      </c>
      <c r="AB158" s="28" t="str">
        <f>IF($F158="","",IF($X158="","",IF($Y158&lt;0,"Past EOL",IF($Y158&lt;=Settings!$B$4,"EOL soon","Supported"))))</f>
        <v/>
      </c>
      <c r="AC158" s="28" t="str">
        <f t="shared" si="18"/>
        <v/>
      </c>
      <c r="AD158" s="20"/>
      <c r="AE158" s="22"/>
      <c r="AF158" s="21"/>
      <c r="AG158" s="21"/>
    </row>
    <row r="159" spans="1:33">
      <c r="A159" s="20"/>
      <c r="B159" s="20"/>
      <c r="C159" s="44"/>
      <c r="D159" s="44"/>
      <c r="E159" s="20"/>
      <c r="F159" s="21"/>
      <c r="G159" s="21"/>
      <c r="H159" s="20"/>
      <c r="I159" s="20"/>
      <c r="J159" s="20"/>
      <c r="K159" s="21"/>
      <c r="L159" s="22"/>
      <c r="M159" s="22"/>
      <c r="N159" s="23" t="str">
        <f t="shared" ca="1" si="13"/>
        <v/>
      </c>
      <c r="O159" s="20"/>
      <c r="P159" s="20"/>
      <c r="Q159" s="24"/>
      <c r="R159" s="24"/>
      <c r="S159" s="23" t="str">
        <f t="shared" si="14"/>
        <v/>
      </c>
      <c r="T159" s="25" t="str">
        <f t="shared" si="15"/>
        <v/>
      </c>
      <c r="U159" s="26"/>
      <c r="V159" s="20"/>
      <c r="W159" s="27" t="str">
        <f t="shared" si="16"/>
        <v/>
      </c>
      <c r="X159" s="22"/>
      <c r="Y159" s="23" t="str">
        <f t="shared" ca="1" si="17"/>
        <v/>
      </c>
      <c r="Z159" s="20"/>
      <c r="AA159" s="28" t="str">
        <f>IF($F159="","",IF($M159="","Missing expiry",IF($N159&lt;0,"Expired",IF($N159&lt;=Settings!$B$2,"Urgent",IF($N159&lt;=Settings!$B$3,"Review","Active")))))</f>
        <v/>
      </c>
      <c r="AB159" s="28" t="str">
        <f>IF($F159="","",IF($X159="","",IF($Y159&lt;0,"Past EOL",IF($Y159&lt;=Settings!$B$4,"EOL soon","Supported"))))</f>
        <v/>
      </c>
      <c r="AC159" s="28" t="str">
        <f t="shared" si="18"/>
        <v/>
      </c>
      <c r="AD159" s="20"/>
      <c r="AE159" s="22"/>
      <c r="AF159" s="21"/>
      <c r="AG159" s="21"/>
    </row>
    <row r="160" spans="1:33">
      <c r="A160" s="20"/>
      <c r="B160" s="20"/>
      <c r="C160" s="44"/>
      <c r="D160" s="44"/>
      <c r="E160" s="20"/>
      <c r="F160" s="21"/>
      <c r="G160" s="21"/>
      <c r="H160" s="20"/>
      <c r="I160" s="20"/>
      <c r="J160" s="20"/>
      <c r="K160" s="21"/>
      <c r="L160" s="22"/>
      <c r="M160" s="22"/>
      <c r="N160" s="23" t="str">
        <f t="shared" ca="1" si="13"/>
        <v/>
      </c>
      <c r="O160" s="20"/>
      <c r="P160" s="20"/>
      <c r="Q160" s="24"/>
      <c r="R160" s="24"/>
      <c r="S160" s="23" t="str">
        <f t="shared" si="14"/>
        <v/>
      </c>
      <c r="T160" s="25" t="str">
        <f t="shared" si="15"/>
        <v/>
      </c>
      <c r="U160" s="26"/>
      <c r="V160" s="20"/>
      <c r="W160" s="27" t="str">
        <f t="shared" si="16"/>
        <v/>
      </c>
      <c r="X160" s="22"/>
      <c r="Y160" s="23" t="str">
        <f t="shared" ca="1" si="17"/>
        <v/>
      </c>
      <c r="Z160" s="20"/>
      <c r="AA160" s="28" t="str">
        <f>IF($F160="","",IF($M160="","Missing expiry",IF($N160&lt;0,"Expired",IF($N160&lt;=Settings!$B$2,"Urgent",IF($N160&lt;=Settings!$B$3,"Review","Active")))))</f>
        <v/>
      </c>
      <c r="AB160" s="28" t="str">
        <f>IF($F160="","",IF($X160="","",IF($Y160&lt;0,"Past EOL",IF($Y160&lt;=Settings!$B$4,"EOL soon","Supported"))))</f>
        <v/>
      </c>
      <c r="AC160" s="28" t="str">
        <f t="shared" si="18"/>
        <v/>
      </c>
      <c r="AD160" s="20"/>
      <c r="AE160" s="22"/>
      <c r="AF160" s="21"/>
      <c r="AG160" s="21"/>
    </row>
    <row r="161" spans="1:33">
      <c r="A161" s="20"/>
      <c r="B161" s="20"/>
      <c r="C161" s="44"/>
      <c r="D161" s="44"/>
      <c r="E161" s="20"/>
      <c r="F161" s="21"/>
      <c r="G161" s="21"/>
      <c r="H161" s="20"/>
      <c r="I161" s="20"/>
      <c r="J161" s="20"/>
      <c r="K161" s="21"/>
      <c r="L161" s="22"/>
      <c r="M161" s="22"/>
      <c r="N161" s="23" t="str">
        <f t="shared" ca="1" si="13"/>
        <v/>
      </c>
      <c r="O161" s="20"/>
      <c r="P161" s="20"/>
      <c r="Q161" s="24"/>
      <c r="R161" s="24"/>
      <c r="S161" s="23" t="str">
        <f t="shared" si="14"/>
        <v/>
      </c>
      <c r="T161" s="25" t="str">
        <f t="shared" si="15"/>
        <v/>
      </c>
      <c r="U161" s="26"/>
      <c r="V161" s="20"/>
      <c r="W161" s="27" t="str">
        <f t="shared" si="16"/>
        <v/>
      </c>
      <c r="X161" s="22"/>
      <c r="Y161" s="23" t="str">
        <f t="shared" ca="1" si="17"/>
        <v/>
      </c>
      <c r="Z161" s="20"/>
      <c r="AA161" s="28" t="str">
        <f>IF($F161="","",IF($M161="","Missing expiry",IF($N161&lt;0,"Expired",IF($N161&lt;=Settings!$B$2,"Urgent",IF($N161&lt;=Settings!$B$3,"Review","Active")))))</f>
        <v/>
      </c>
      <c r="AB161" s="28" t="str">
        <f>IF($F161="","",IF($X161="","",IF($Y161&lt;0,"Past EOL",IF($Y161&lt;=Settings!$B$4,"EOL soon","Supported"))))</f>
        <v/>
      </c>
      <c r="AC161" s="28" t="str">
        <f t="shared" si="18"/>
        <v/>
      </c>
      <c r="AD161" s="20"/>
      <c r="AE161" s="22"/>
      <c r="AF161" s="21"/>
      <c r="AG161" s="21"/>
    </row>
    <row r="162" spans="1:33">
      <c r="A162" s="20"/>
      <c r="B162" s="20"/>
      <c r="C162" s="44"/>
      <c r="D162" s="44"/>
      <c r="E162" s="20"/>
      <c r="F162" s="21"/>
      <c r="G162" s="21"/>
      <c r="H162" s="20"/>
      <c r="I162" s="20"/>
      <c r="J162" s="20"/>
      <c r="K162" s="21"/>
      <c r="L162" s="22"/>
      <c r="M162" s="22"/>
      <c r="N162" s="23" t="str">
        <f t="shared" ca="1" si="13"/>
        <v/>
      </c>
      <c r="O162" s="20"/>
      <c r="P162" s="20"/>
      <c r="Q162" s="24"/>
      <c r="R162" s="24"/>
      <c r="S162" s="23" t="str">
        <f t="shared" si="14"/>
        <v/>
      </c>
      <c r="T162" s="25" t="str">
        <f t="shared" si="15"/>
        <v/>
      </c>
      <c r="U162" s="26"/>
      <c r="V162" s="20"/>
      <c r="W162" s="27" t="str">
        <f t="shared" si="16"/>
        <v/>
      </c>
      <c r="X162" s="22"/>
      <c r="Y162" s="23" t="str">
        <f t="shared" ca="1" si="17"/>
        <v/>
      </c>
      <c r="Z162" s="20"/>
      <c r="AA162" s="28" t="str">
        <f>IF($F162="","",IF($M162="","Missing expiry",IF($N162&lt;0,"Expired",IF($N162&lt;=Settings!$B$2,"Urgent",IF($N162&lt;=Settings!$B$3,"Review","Active")))))</f>
        <v/>
      </c>
      <c r="AB162" s="28" t="str">
        <f>IF($F162="","",IF($X162="","",IF($Y162&lt;0,"Past EOL",IF($Y162&lt;=Settings!$B$4,"EOL soon","Supported"))))</f>
        <v/>
      </c>
      <c r="AC162" s="28" t="str">
        <f t="shared" si="18"/>
        <v/>
      </c>
      <c r="AD162" s="20"/>
      <c r="AE162" s="22"/>
      <c r="AF162" s="21"/>
      <c r="AG162" s="21"/>
    </row>
    <row r="163" spans="1:33">
      <c r="A163" s="20"/>
      <c r="B163" s="20"/>
      <c r="C163" s="44"/>
      <c r="D163" s="44"/>
      <c r="E163" s="20"/>
      <c r="F163" s="21"/>
      <c r="G163" s="21"/>
      <c r="H163" s="20"/>
      <c r="I163" s="20"/>
      <c r="J163" s="20"/>
      <c r="K163" s="21"/>
      <c r="L163" s="22"/>
      <c r="M163" s="22"/>
      <c r="N163" s="23" t="str">
        <f t="shared" ca="1" si="13"/>
        <v/>
      </c>
      <c r="O163" s="20"/>
      <c r="P163" s="20"/>
      <c r="Q163" s="24"/>
      <c r="R163" s="24"/>
      <c r="S163" s="23" t="str">
        <f t="shared" si="14"/>
        <v/>
      </c>
      <c r="T163" s="25" t="str">
        <f t="shared" si="15"/>
        <v/>
      </c>
      <c r="U163" s="26"/>
      <c r="V163" s="20"/>
      <c r="W163" s="27" t="str">
        <f t="shared" si="16"/>
        <v/>
      </c>
      <c r="X163" s="22"/>
      <c r="Y163" s="23" t="str">
        <f t="shared" ca="1" si="17"/>
        <v/>
      </c>
      <c r="Z163" s="20"/>
      <c r="AA163" s="28" t="str">
        <f>IF($F163="","",IF($M163="","Missing expiry",IF($N163&lt;0,"Expired",IF($N163&lt;=Settings!$B$2,"Urgent",IF($N163&lt;=Settings!$B$3,"Review","Active")))))</f>
        <v/>
      </c>
      <c r="AB163" s="28" t="str">
        <f>IF($F163="","",IF($X163="","",IF($Y163&lt;0,"Past EOL",IF($Y163&lt;=Settings!$B$4,"EOL soon","Supported"))))</f>
        <v/>
      </c>
      <c r="AC163" s="28" t="str">
        <f t="shared" si="18"/>
        <v/>
      </c>
      <c r="AD163" s="20"/>
      <c r="AE163" s="22"/>
      <c r="AF163" s="21"/>
      <c r="AG163" s="21"/>
    </row>
    <row r="164" spans="1:33">
      <c r="A164" s="20"/>
      <c r="B164" s="20"/>
      <c r="C164" s="44"/>
      <c r="D164" s="44"/>
      <c r="E164" s="20"/>
      <c r="F164" s="21"/>
      <c r="G164" s="21"/>
      <c r="H164" s="20"/>
      <c r="I164" s="20"/>
      <c r="J164" s="20"/>
      <c r="K164" s="21"/>
      <c r="L164" s="22"/>
      <c r="M164" s="22"/>
      <c r="N164" s="23" t="str">
        <f t="shared" ca="1" si="13"/>
        <v/>
      </c>
      <c r="O164" s="20"/>
      <c r="P164" s="20"/>
      <c r="Q164" s="24"/>
      <c r="R164" s="24"/>
      <c r="S164" s="23" t="str">
        <f t="shared" si="14"/>
        <v/>
      </c>
      <c r="T164" s="25" t="str">
        <f t="shared" si="15"/>
        <v/>
      </c>
      <c r="U164" s="26"/>
      <c r="V164" s="20"/>
      <c r="W164" s="27" t="str">
        <f t="shared" si="16"/>
        <v/>
      </c>
      <c r="X164" s="22"/>
      <c r="Y164" s="23" t="str">
        <f t="shared" ca="1" si="17"/>
        <v/>
      </c>
      <c r="Z164" s="20"/>
      <c r="AA164" s="28" t="str">
        <f>IF($F164="","",IF($M164="","Missing expiry",IF($N164&lt;0,"Expired",IF($N164&lt;=Settings!$B$2,"Urgent",IF($N164&lt;=Settings!$B$3,"Review","Active")))))</f>
        <v/>
      </c>
      <c r="AB164" s="28" t="str">
        <f>IF($F164="","",IF($X164="","",IF($Y164&lt;0,"Past EOL",IF($Y164&lt;=Settings!$B$4,"EOL soon","Supported"))))</f>
        <v/>
      </c>
      <c r="AC164" s="28" t="str">
        <f t="shared" si="18"/>
        <v/>
      </c>
      <c r="AD164" s="20"/>
      <c r="AE164" s="22"/>
      <c r="AF164" s="21"/>
      <c r="AG164" s="21"/>
    </row>
    <row r="165" spans="1:33">
      <c r="A165" s="20"/>
      <c r="B165" s="20"/>
      <c r="C165" s="44"/>
      <c r="D165" s="44"/>
      <c r="E165" s="20"/>
      <c r="F165" s="21"/>
      <c r="G165" s="21"/>
      <c r="H165" s="20"/>
      <c r="I165" s="20"/>
      <c r="J165" s="20"/>
      <c r="K165" s="21"/>
      <c r="L165" s="22"/>
      <c r="M165" s="22"/>
      <c r="N165" s="23" t="str">
        <f t="shared" ca="1" si="13"/>
        <v/>
      </c>
      <c r="O165" s="20"/>
      <c r="P165" s="20"/>
      <c r="Q165" s="24"/>
      <c r="R165" s="24"/>
      <c r="S165" s="23" t="str">
        <f t="shared" si="14"/>
        <v/>
      </c>
      <c r="T165" s="25" t="str">
        <f t="shared" si="15"/>
        <v/>
      </c>
      <c r="U165" s="26"/>
      <c r="V165" s="20"/>
      <c r="W165" s="27" t="str">
        <f t="shared" si="16"/>
        <v/>
      </c>
      <c r="X165" s="22"/>
      <c r="Y165" s="23" t="str">
        <f t="shared" ca="1" si="17"/>
        <v/>
      </c>
      <c r="Z165" s="20"/>
      <c r="AA165" s="28" t="str">
        <f>IF($F165="","",IF($M165="","Missing expiry",IF($N165&lt;0,"Expired",IF($N165&lt;=Settings!$B$2,"Urgent",IF($N165&lt;=Settings!$B$3,"Review","Active")))))</f>
        <v/>
      </c>
      <c r="AB165" s="28" t="str">
        <f>IF($F165="","",IF($X165="","",IF($Y165&lt;0,"Past EOL",IF($Y165&lt;=Settings!$B$4,"EOL soon","Supported"))))</f>
        <v/>
      </c>
      <c r="AC165" s="28" t="str">
        <f t="shared" si="18"/>
        <v/>
      </c>
      <c r="AD165" s="20"/>
      <c r="AE165" s="22"/>
      <c r="AF165" s="21"/>
      <c r="AG165" s="21"/>
    </row>
    <row r="166" spans="1:33">
      <c r="A166" s="20"/>
      <c r="B166" s="20"/>
      <c r="C166" s="44"/>
      <c r="D166" s="44"/>
      <c r="E166" s="20"/>
      <c r="F166" s="21"/>
      <c r="G166" s="21"/>
      <c r="H166" s="20"/>
      <c r="I166" s="20"/>
      <c r="J166" s="20"/>
      <c r="K166" s="21"/>
      <c r="L166" s="22"/>
      <c r="M166" s="22"/>
      <c r="N166" s="23" t="str">
        <f t="shared" ca="1" si="13"/>
        <v/>
      </c>
      <c r="O166" s="20"/>
      <c r="P166" s="20"/>
      <c r="Q166" s="24"/>
      <c r="R166" s="24"/>
      <c r="S166" s="23" t="str">
        <f t="shared" si="14"/>
        <v/>
      </c>
      <c r="T166" s="25" t="str">
        <f t="shared" si="15"/>
        <v/>
      </c>
      <c r="U166" s="26"/>
      <c r="V166" s="20"/>
      <c r="W166" s="27" t="str">
        <f t="shared" si="16"/>
        <v/>
      </c>
      <c r="X166" s="22"/>
      <c r="Y166" s="23" t="str">
        <f t="shared" ca="1" si="17"/>
        <v/>
      </c>
      <c r="Z166" s="20"/>
      <c r="AA166" s="28" t="str">
        <f>IF($F166="","",IF($M166="","Missing expiry",IF($N166&lt;0,"Expired",IF($N166&lt;=Settings!$B$2,"Urgent",IF($N166&lt;=Settings!$B$3,"Review","Active")))))</f>
        <v/>
      </c>
      <c r="AB166" s="28" t="str">
        <f>IF($F166="","",IF($X166="","",IF($Y166&lt;0,"Past EOL",IF($Y166&lt;=Settings!$B$4,"EOL soon","Supported"))))</f>
        <v/>
      </c>
      <c r="AC166" s="28" t="str">
        <f t="shared" si="18"/>
        <v/>
      </c>
      <c r="AD166" s="20"/>
      <c r="AE166" s="22"/>
      <c r="AF166" s="21"/>
      <c r="AG166" s="21"/>
    </row>
    <row r="167" spans="1:33">
      <c r="A167" s="20"/>
      <c r="B167" s="20"/>
      <c r="C167" s="44"/>
      <c r="D167" s="44"/>
      <c r="E167" s="20"/>
      <c r="F167" s="21"/>
      <c r="G167" s="21"/>
      <c r="H167" s="20"/>
      <c r="I167" s="20"/>
      <c r="J167" s="20"/>
      <c r="K167" s="21"/>
      <c r="L167" s="22"/>
      <c r="M167" s="22"/>
      <c r="N167" s="23" t="str">
        <f t="shared" ca="1" si="13"/>
        <v/>
      </c>
      <c r="O167" s="20"/>
      <c r="P167" s="20"/>
      <c r="Q167" s="24"/>
      <c r="R167" s="24"/>
      <c r="S167" s="23" t="str">
        <f t="shared" si="14"/>
        <v/>
      </c>
      <c r="T167" s="25" t="str">
        <f t="shared" si="15"/>
        <v/>
      </c>
      <c r="U167" s="26"/>
      <c r="V167" s="20"/>
      <c r="W167" s="27" t="str">
        <f t="shared" si="16"/>
        <v/>
      </c>
      <c r="X167" s="22"/>
      <c r="Y167" s="23" t="str">
        <f t="shared" ca="1" si="17"/>
        <v/>
      </c>
      <c r="Z167" s="20"/>
      <c r="AA167" s="28" t="str">
        <f>IF($F167="","",IF($M167="","Missing expiry",IF($N167&lt;0,"Expired",IF($N167&lt;=Settings!$B$2,"Urgent",IF($N167&lt;=Settings!$B$3,"Review","Active")))))</f>
        <v/>
      </c>
      <c r="AB167" s="28" t="str">
        <f>IF($F167="","",IF($X167="","",IF($Y167&lt;0,"Past EOL",IF($Y167&lt;=Settings!$B$4,"EOL soon","Supported"))))</f>
        <v/>
      </c>
      <c r="AC167" s="28" t="str">
        <f t="shared" si="18"/>
        <v/>
      </c>
      <c r="AD167" s="20"/>
      <c r="AE167" s="22"/>
      <c r="AF167" s="21"/>
      <c r="AG167" s="21"/>
    </row>
    <row r="168" spans="1:33">
      <c r="A168" s="20"/>
      <c r="B168" s="20"/>
      <c r="C168" s="44"/>
      <c r="D168" s="44"/>
      <c r="E168" s="20"/>
      <c r="F168" s="21"/>
      <c r="G168" s="21"/>
      <c r="H168" s="20"/>
      <c r="I168" s="20"/>
      <c r="J168" s="20"/>
      <c r="K168" s="21"/>
      <c r="L168" s="22"/>
      <c r="M168" s="22"/>
      <c r="N168" s="23" t="str">
        <f t="shared" ca="1" si="13"/>
        <v/>
      </c>
      <c r="O168" s="20"/>
      <c r="P168" s="20"/>
      <c r="Q168" s="24"/>
      <c r="R168" s="24"/>
      <c r="S168" s="23" t="str">
        <f t="shared" si="14"/>
        <v/>
      </c>
      <c r="T168" s="25" t="str">
        <f t="shared" si="15"/>
        <v/>
      </c>
      <c r="U168" s="26"/>
      <c r="V168" s="20"/>
      <c r="W168" s="27" t="str">
        <f t="shared" si="16"/>
        <v/>
      </c>
      <c r="X168" s="22"/>
      <c r="Y168" s="23" t="str">
        <f t="shared" ca="1" si="17"/>
        <v/>
      </c>
      <c r="Z168" s="20"/>
      <c r="AA168" s="28" t="str">
        <f>IF($F168="","",IF($M168="","Missing expiry",IF($N168&lt;0,"Expired",IF($N168&lt;=Settings!$B$2,"Urgent",IF($N168&lt;=Settings!$B$3,"Review","Active")))))</f>
        <v/>
      </c>
      <c r="AB168" s="28" t="str">
        <f>IF($F168="","",IF($X168="","",IF($Y168&lt;0,"Past EOL",IF($Y168&lt;=Settings!$B$4,"EOL soon","Supported"))))</f>
        <v/>
      </c>
      <c r="AC168" s="28" t="str">
        <f t="shared" si="18"/>
        <v/>
      </c>
      <c r="AD168" s="20"/>
      <c r="AE168" s="22"/>
      <c r="AF168" s="21"/>
      <c r="AG168" s="21"/>
    </row>
    <row r="169" spans="1:33">
      <c r="A169" s="20"/>
      <c r="B169" s="20"/>
      <c r="C169" s="44"/>
      <c r="D169" s="44"/>
      <c r="E169" s="20"/>
      <c r="F169" s="21"/>
      <c r="G169" s="21"/>
      <c r="H169" s="20"/>
      <c r="I169" s="20"/>
      <c r="J169" s="20"/>
      <c r="K169" s="21"/>
      <c r="L169" s="22"/>
      <c r="M169" s="22"/>
      <c r="N169" s="23" t="str">
        <f t="shared" ca="1" si="13"/>
        <v/>
      </c>
      <c r="O169" s="20"/>
      <c r="P169" s="20"/>
      <c r="Q169" s="24"/>
      <c r="R169" s="24"/>
      <c r="S169" s="23" t="str">
        <f t="shared" si="14"/>
        <v/>
      </c>
      <c r="T169" s="25" t="str">
        <f t="shared" si="15"/>
        <v/>
      </c>
      <c r="U169" s="26"/>
      <c r="V169" s="20"/>
      <c r="W169" s="27" t="str">
        <f t="shared" si="16"/>
        <v/>
      </c>
      <c r="X169" s="22"/>
      <c r="Y169" s="23" t="str">
        <f t="shared" ca="1" si="17"/>
        <v/>
      </c>
      <c r="Z169" s="20"/>
      <c r="AA169" s="28" t="str">
        <f>IF($F169="","",IF($M169="","Missing expiry",IF($N169&lt;0,"Expired",IF($N169&lt;=Settings!$B$2,"Urgent",IF($N169&lt;=Settings!$B$3,"Review","Active")))))</f>
        <v/>
      </c>
      <c r="AB169" s="28" t="str">
        <f>IF($F169="","",IF($X169="","",IF($Y169&lt;0,"Past EOL",IF($Y169&lt;=Settings!$B$4,"EOL soon","Supported"))))</f>
        <v/>
      </c>
      <c r="AC169" s="28" t="str">
        <f t="shared" si="18"/>
        <v/>
      </c>
      <c r="AD169" s="20"/>
      <c r="AE169" s="22"/>
      <c r="AF169" s="21"/>
      <c r="AG169" s="21"/>
    </row>
    <row r="170" spans="1:33">
      <c r="A170" s="20"/>
      <c r="B170" s="20"/>
      <c r="C170" s="44"/>
      <c r="D170" s="44"/>
      <c r="E170" s="20"/>
      <c r="F170" s="21"/>
      <c r="G170" s="21"/>
      <c r="H170" s="20"/>
      <c r="I170" s="20"/>
      <c r="J170" s="20"/>
      <c r="K170" s="21"/>
      <c r="L170" s="22"/>
      <c r="M170" s="22"/>
      <c r="N170" s="23" t="str">
        <f t="shared" ca="1" si="13"/>
        <v/>
      </c>
      <c r="O170" s="20"/>
      <c r="P170" s="20"/>
      <c r="Q170" s="24"/>
      <c r="R170" s="24"/>
      <c r="S170" s="23" t="str">
        <f t="shared" si="14"/>
        <v/>
      </c>
      <c r="T170" s="25" t="str">
        <f t="shared" si="15"/>
        <v/>
      </c>
      <c r="U170" s="26"/>
      <c r="V170" s="20"/>
      <c r="W170" s="27" t="str">
        <f t="shared" si="16"/>
        <v/>
      </c>
      <c r="X170" s="22"/>
      <c r="Y170" s="23" t="str">
        <f t="shared" ca="1" si="17"/>
        <v/>
      </c>
      <c r="Z170" s="20"/>
      <c r="AA170" s="28" t="str">
        <f>IF($F170="","",IF($M170="","Missing expiry",IF($N170&lt;0,"Expired",IF($N170&lt;=Settings!$B$2,"Urgent",IF($N170&lt;=Settings!$B$3,"Review","Active")))))</f>
        <v/>
      </c>
      <c r="AB170" s="28" t="str">
        <f>IF($F170="","",IF($X170="","",IF($Y170&lt;0,"Past EOL",IF($Y170&lt;=Settings!$B$4,"EOL soon","Supported"))))</f>
        <v/>
      </c>
      <c r="AC170" s="28" t="str">
        <f t="shared" si="18"/>
        <v/>
      </c>
      <c r="AD170" s="20"/>
      <c r="AE170" s="22"/>
      <c r="AF170" s="21"/>
      <c r="AG170" s="21"/>
    </row>
    <row r="171" spans="1:33">
      <c r="A171" s="20"/>
      <c r="B171" s="20"/>
      <c r="C171" s="44"/>
      <c r="D171" s="44"/>
      <c r="E171" s="20"/>
      <c r="F171" s="21"/>
      <c r="G171" s="21"/>
      <c r="H171" s="20"/>
      <c r="I171" s="20"/>
      <c r="J171" s="20"/>
      <c r="K171" s="21"/>
      <c r="L171" s="22"/>
      <c r="M171" s="22"/>
      <c r="N171" s="23" t="str">
        <f t="shared" ca="1" si="13"/>
        <v/>
      </c>
      <c r="O171" s="20"/>
      <c r="P171" s="20"/>
      <c r="Q171" s="24"/>
      <c r="R171" s="24"/>
      <c r="S171" s="23" t="str">
        <f t="shared" si="14"/>
        <v/>
      </c>
      <c r="T171" s="25" t="str">
        <f t="shared" si="15"/>
        <v/>
      </c>
      <c r="U171" s="26"/>
      <c r="V171" s="20"/>
      <c r="W171" s="27" t="str">
        <f t="shared" si="16"/>
        <v/>
      </c>
      <c r="X171" s="22"/>
      <c r="Y171" s="23" t="str">
        <f t="shared" ca="1" si="17"/>
        <v/>
      </c>
      <c r="Z171" s="20"/>
      <c r="AA171" s="28" t="str">
        <f>IF($F171="","",IF($M171="","Missing expiry",IF($N171&lt;0,"Expired",IF($N171&lt;=Settings!$B$2,"Urgent",IF($N171&lt;=Settings!$B$3,"Review","Active")))))</f>
        <v/>
      </c>
      <c r="AB171" s="28" t="str">
        <f>IF($F171="","",IF($X171="","",IF($Y171&lt;0,"Past EOL",IF($Y171&lt;=Settings!$B$4,"EOL soon","Supported"))))</f>
        <v/>
      </c>
      <c r="AC171" s="28" t="str">
        <f t="shared" si="18"/>
        <v/>
      </c>
      <c r="AD171" s="20"/>
      <c r="AE171" s="22"/>
      <c r="AF171" s="21"/>
      <c r="AG171" s="21"/>
    </row>
    <row r="172" spans="1:33">
      <c r="A172" s="20"/>
      <c r="B172" s="20"/>
      <c r="C172" s="44"/>
      <c r="D172" s="44"/>
      <c r="E172" s="20"/>
      <c r="F172" s="21"/>
      <c r="G172" s="21"/>
      <c r="H172" s="20"/>
      <c r="I172" s="20"/>
      <c r="J172" s="20"/>
      <c r="K172" s="21"/>
      <c r="L172" s="22"/>
      <c r="M172" s="22"/>
      <c r="N172" s="23" t="str">
        <f t="shared" ca="1" si="13"/>
        <v/>
      </c>
      <c r="O172" s="20"/>
      <c r="P172" s="20"/>
      <c r="Q172" s="24"/>
      <c r="R172" s="24"/>
      <c r="S172" s="23" t="str">
        <f t="shared" si="14"/>
        <v/>
      </c>
      <c r="T172" s="25" t="str">
        <f t="shared" si="15"/>
        <v/>
      </c>
      <c r="U172" s="26"/>
      <c r="V172" s="20"/>
      <c r="W172" s="27" t="str">
        <f t="shared" si="16"/>
        <v/>
      </c>
      <c r="X172" s="22"/>
      <c r="Y172" s="23" t="str">
        <f t="shared" ca="1" si="17"/>
        <v/>
      </c>
      <c r="Z172" s="20"/>
      <c r="AA172" s="28" t="str">
        <f>IF($F172="","",IF($M172="","Missing expiry",IF($N172&lt;0,"Expired",IF($N172&lt;=Settings!$B$2,"Urgent",IF($N172&lt;=Settings!$B$3,"Review","Active")))))</f>
        <v/>
      </c>
      <c r="AB172" s="28" t="str">
        <f>IF($F172="","",IF($X172="","",IF($Y172&lt;0,"Past EOL",IF($Y172&lt;=Settings!$B$4,"EOL soon","Supported"))))</f>
        <v/>
      </c>
      <c r="AC172" s="28" t="str">
        <f t="shared" si="18"/>
        <v/>
      </c>
      <c r="AD172" s="20"/>
      <c r="AE172" s="22"/>
      <c r="AF172" s="21"/>
      <c r="AG172" s="21"/>
    </row>
    <row r="173" spans="1:33">
      <c r="A173" s="20"/>
      <c r="B173" s="20"/>
      <c r="C173" s="44"/>
      <c r="D173" s="44"/>
      <c r="E173" s="20"/>
      <c r="F173" s="21"/>
      <c r="G173" s="21"/>
      <c r="H173" s="20"/>
      <c r="I173" s="20"/>
      <c r="J173" s="20"/>
      <c r="K173" s="21"/>
      <c r="L173" s="22"/>
      <c r="M173" s="22"/>
      <c r="N173" s="23" t="str">
        <f t="shared" ca="1" si="13"/>
        <v/>
      </c>
      <c r="O173" s="20"/>
      <c r="P173" s="20"/>
      <c r="Q173" s="24"/>
      <c r="R173" s="24"/>
      <c r="S173" s="23" t="str">
        <f t="shared" si="14"/>
        <v/>
      </c>
      <c r="T173" s="25" t="str">
        <f t="shared" si="15"/>
        <v/>
      </c>
      <c r="U173" s="26"/>
      <c r="V173" s="20"/>
      <c r="W173" s="27" t="str">
        <f t="shared" si="16"/>
        <v/>
      </c>
      <c r="X173" s="22"/>
      <c r="Y173" s="23" t="str">
        <f t="shared" ca="1" si="17"/>
        <v/>
      </c>
      <c r="Z173" s="20"/>
      <c r="AA173" s="28" t="str">
        <f>IF($F173="","",IF($M173="","Missing expiry",IF($N173&lt;0,"Expired",IF($N173&lt;=Settings!$B$2,"Urgent",IF($N173&lt;=Settings!$B$3,"Review","Active")))))</f>
        <v/>
      </c>
      <c r="AB173" s="28" t="str">
        <f>IF($F173="","",IF($X173="","",IF($Y173&lt;0,"Past EOL",IF($Y173&lt;=Settings!$B$4,"EOL soon","Supported"))))</f>
        <v/>
      </c>
      <c r="AC173" s="28" t="str">
        <f t="shared" si="18"/>
        <v/>
      </c>
      <c r="AD173" s="20"/>
      <c r="AE173" s="22"/>
      <c r="AF173" s="21"/>
      <c r="AG173" s="21"/>
    </row>
    <row r="174" spans="1:33">
      <c r="A174" s="20"/>
      <c r="B174" s="20"/>
      <c r="C174" s="44"/>
      <c r="D174" s="44"/>
      <c r="E174" s="20"/>
      <c r="F174" s="21"/>
      <c r="G174" s="21"/>
      <c r="H174" s="20"/>
      <c r="I174" s="20"/>
      <c r="J174" s="20"/>
      <c r="K174" s="21"/>
      <c r="L174" s="22"/>
      <c r="M174" s="22"/>
      <c r="N174" s="23" t="str">
        <f t="shared" ca="1" si="13"/>
        <v/>
      </c>
      <c r="O174" s="20"/>
      <c r="P174" s="20"/>
      <c r="Q174" s="24"/>
      <c r="R174" s="24"/>
      <c r="S174" s="23" t="str">
        <f t="shared" si="14"/>
        <v/>
      </c>
      <c r="T174" s="25" t="str">
        <f t="shared" si="15"/>
        <v/>
      </c>
      <c r="U174" s="26"/>
      <c r="V174" s="20"/>
      <c r="W174" s="27" t="str">
        <f t="shared" si="16"/>
        <v/>
      </c>
      <c r="X174" s="22"/>
      <c r="Y174" s="23" t="str">
        <f t="shared" ca="1" si="17"/>
        <v/>
      </c>
      <c r="Z174" s="20"/>
      <c r="AA174" s="28" t="str">
        <f>IF($F174="","",IF($M174="","Missing expiry",IF($N174&lt;0,"Expired",IF($N174&lt;=Settings!$B$2,"Urgent",IF($N174&lt;=Settings!$B$3,"Review","Active")))))</f>
        <v/>
      </c>
      <c r="AB174" s="28" t="str">
        <f>IF($F174="","",IF($X174="","",IF($Y174&lt;0,"Past EOL",IF($Y174&lt;=Settings!$B$4,"EOL soon","Supported"))))</f>
        <v/>
      </c>
      <c r="AC174" s="28" t="str">
        <f t="shared" si="18"/>
        <v/>
      </c>
      <c r="AD174" s="20"/>
      <c r="AE174" s="22"/>
      <c r="AF174" s="21"/>
      <c r="AG174" s="21"/>
    </row>
    <row r="175" spans="1:33">
      <c r="A175" s="20"/>
      <c r="B175" s="20"/>
      <c r="C175" s="44"/>
      <c r="D175" s="44"/>
      <c r="E175" s="20"/>
      <c r="F175" s="21"/>
      <c r="G175" s="21"/>
      <c r="H175" s="20"/>
      <c r="I175" s="20"/>
      <c r="J175" s="20"/>
      <c r="K175" s="21"/>
      <c r="L175" s="22"/>
      <c r="M175" s="22"/>
      <c r="N175" s="23" t="str">
        <f t="shared" ca="1" si="13"/>
        <v/>
      </c>
      <c r="O175" s="20"/>
      <c r="P175" s="20"/>
      <c r="Q175" s="24"/>
      <c r="R175" s="24"/>
      <c r="S175" s="23" t="str">
        <f t="shared" si="14"/>
        <v/>
      </c>
      <c r="T175" s="25" t="str">
        <f t="shared" si="15"/>
        <v/>
      </c>
      <c r="U175" s="26"/>
      <c r="V175" s="20"/>
      <c r="W175" s="27" t="str">
        <f t="shared" si="16"/>
        <v/>
      </c>
      <c r="X175" s="22"/>
      <c r="Y175" s="23" t="str">
        <f t="shared" ca="1" si="17"/>
        <v/>
      </c>
      <c r="Z175" s="20"/>
      <c r="AA175" s="28" t="str">
        <f>IF($F175="","",IF($M175="","Missing expiry",IF($N175&lt;0,"Expired",IF($N175&lt;=Settings!$B$2,"Urgent",IF($N175&lt;=Settings!$B$3,"Review","Active")))))</f>
        <v/>
      </c>
      <c r="AB175" s="28" t="str">
        <f>IF($F175="","",IF($X175="","",IF($Y175&lt;0,"Past EOL",IF($Y175&lt;=Settings!$B$4,"EOL soon","Supported"))))</f>
        <v/>
      </c>
      <c r="AC175" s="28" t="str">
        <f t="shared" si="18"/>
        <v/>
      </c>
      <c r="AD175" s="20"/>
      <c r="AE175" s="22"/>
      <c r="AF175" s="21"/>
      <c r="AG175" s="21"/>
    </row>
    <row r="176" spans="1:33">
      <c r="A176" s="20"/>
      <c r="B176" s="20"/>
      <c r="C176" s="44"/>
      <c r="D176" s="44"/>
      <c r="E176" s="20"/>
      <c r="F176" s="21"/>
      <c r="G176" s="21"/>
      <c r="H176" s="20"/>
      <c r="I176" s="20"/>
      <c r="J176" s="20"/>
      <c r="K176" s="21"/>
      <c r="L176" s="22"/>
      <c r="M176" s="22"/>
      <c r="N176" s="23" t="str">
        <f t="shared" ca="1" si="13"/>
        <v/>
      </c>
      <c r="O176" s="20"/>
      <c r="P176" s="20"/>
      <c r="Q176" s="24"/>
      <c r="R176" s="24"/>
      <c r="S176" s="23" t="str">
        <f t="shared" si="14"/>
        <v/>
      </c>
      <c r="T176" s="25" t="str">
        <f t="shared" si="15"/>
        <v/>
      </c>
      <c r="U176" s="26"/>
      <c r="V176" s="20"/>
      <c r="W176" s="27" t="str">
        <f t="shared" si="16"/>
        <v/>
      </c>
      <c r="X176" s="22"/>
      <c r="Y176" s="23" t="str">
        <f t="shared" ca="1" si="17"/>
        <v/>
      </c>
      <c r="Z176" s="20"/>
      <c r="AA176" s="28" t="str">
        <f>IF($F176="","",IF($M176="","Missing expiry",IF($N176&lt;0,"Expired",IF($N176&lt;=Settings!$B$2,"Urgent",IF($N176&lt;=Settings!$B$3,"Review","Active")))))</f>
        <v/>
      </c>
      <c r="AB176" s="28" t="str">
        <f>IF($F176="","",IF($X176="","",IF($Y176&lt;0,"Past EOL",IF($Y176&lt;=Settings!$B$4,"EOL soon","Supported"))))</f>
        <v/>
      </c>
      <c r="AC176" s="28" t="str">
        <f t="shared" si="18"/>
        <v/>
      </c>
      <c r="AD176" s="20"/>
      <c r="AE176" s="22"/>
      <c r="AF176" s="21"/>
      <c r="AG176" s="21"/>
    </row>
    <row r="177" spans="1:33">
      <c r="A177" s="20"/>
      <c r="B177" s="20"/>
      <c r="C177" s="44"/>
      <c r="D177" s="44"/>
      <c r="E177" s="20"/>
      <c r="F177" s="21"/>
      <c r="G177" s="21"/>
      <c r="H177" s="20"/>
      <c r="I177" s="20"/>
      <c r="J177" s="20"/>
      <c r="K177" s="21"/>
      <c r="L177" s="22"/>
      <c r="M177" s="22"/>
      <c r="N177" s="23" t="str">
        <f t="shared" ca="1" si="13"/>
        <v/>
      </c>
      <c r="O177" s="20"/>
      <c r="P177" s="20"/>
      <c r="Q177" s="24"/>
      <c r="R177" s="24"/>
      <c r="S177" s="23" t="str">
        <f t="shared" si="14"/>
        <v/>
      </c>
      <c r="T177" s="25" t="str">
        <f t="shared" si="15"/>
        <v/>
      </c>
      <c r="U177" s="26"/>
      <c r="V177" s="20"/>
      <c r="W177" s="27" t="str">
        <f t="shared" si="16"/>
        <v/>
      </c>
      <c r="X177" s="22"/>
      <c r="Y177" s="23" t="str">
        <f t="shared" ca="1" si="17"/>
        <v/>
      </c>
      <c r="Z177" s="20"/>
      <c r="AA177" s="28" t="str">
        <f>IF($F177="","",IF($M177="","Missing expiry",IF($N177&lt;0,"Expired",IF($N177&lt;=Settings!$B$2,"Urgent",IF($N177&lt;=Settings!$B$3,"Review","Active")))))</f>
        <v/>
      </c>
      <c r="AB177" s="28" t="str">
        <f>IF($F177="","",IF($X177="","",IF($Y177&lt;0,"Past EOL",IF($Y177&lt;=Settings!$B$4,"EOL soon","Supported"))))</f>
        <v/>
      </c>
      <c r="AC177" s="28" t="str">
        <f t="shared" si="18"/>
        <v/>
      </c>
      <c r="AD177" s="20"/>
      <c r="AE177" s="22"/>
      <c r="AF177" s="21"/>
      <c r="AG177" s="21"/>
    </row>
    <row r="178" spans="1:33">
      <c r="A178" s="20"/>
      <c r="B178" s="20"/>
      <c r="C178" s="44"/>
      <c r="D178" s="44"/>
      <c r="E178" s="20"/>
      <c r="F178" s="21"/>
      <c r="G178" s="21"/>
      <c r="H178" s="20"/>
      <c r="I178" s="20"/>
      <c r="J178" s="20"/>
      <c r="K178" s="21"/>
      <c r="L178" s="22"/>
      <c r="M178" s="22"/>
      <c r="N178" s="23" t="str">
        <f t="shared" ca="1" si="13"/>
        <v/>
      </c>
      <c r="O178" s="20"/>
      <c r="P178" s="20"/>
      <c r="Q178" s="24"/>
      <c r="R178" s="24"/>
      <c r="S178" s="23" t="str">
        <f t="shared" si="14"/>
        <v/>
      </c>
      <c r="T178" s="25" t="str">
        <f t="shared" si="15"/>
        <v/>
      </c>
      <c r="U178" s="26"/>
      <c r="V178" s="20"/>
      <c r="W178" s="27" t="str">
        <f t="shared" si="16"/>
        <v/>
      </c>
      <c r="X178" s="22"/>
      <c r="Y178" s="23" t="str">
        <f t="shared" ca="1" si="17"/>
        <v/>
      </c>
      <c r="Z178" s="20"/>
      <c r="AA178" s="28" t="str">
        <f>IF($F178="","",IF($M178="","Missing expiry",IF($N178&lt;0,"Expired",IF($N178&lt;=Settings!$B$2,"Urgent",IF($N178&lt;=Settings!$B$3,"Review","Active")))))</f>
        <v/>
      </c>
      <c r="AB178" s="28" t="str">
        <f>IF($F178="","",IF($X178="","",IF($Y178&lt;0,"Past EOL",IF($Y178&lt;=Settings!$B$4,"EOL soon","Supported"))))</f>
        <v/>
      </c>
      <c r="AC178" s="28" t="str">
        <f t="shared" si="18"/>
        <v/>
      </c>
      <c r="AD178" s="20"/>
      <c r="AE178" s="22"/>
      <c r="AF178" s="21"/>
      <c r="AG178" s="21"/>
    </row>
    <row r="179" spans="1:33">
      <c r="A179" s="20"/>
      <c r="B179" s="20"/>
      <c r="C179" s="44"/>
      <c r="D179" s="44"/>
      <c r="E179" s="20"/>
      <c r="F179" s="21"/>
      <c r="G179" s="21"/>
      <c r="H179" s="20"/>
      <c r="I179" s="20"/>
      <c r="J179" s="20"/>
      <c r="K179" s="21"/>
      <c r="L179" s="22"/>
      <c r="M179" s="22"/>
      <c r="N179" s="23" t="str">
        <f t="shared" ca="1" si="13"/>
        <v/>
      </c>
      <c r="O179" s="20"/>
      <c r="P179" s="20"/>
      <c r="Q179" s="24"/>
      <c r="R179" s="24"/>
      <c r="S179" s="23" t="str">
        <f t="shared" si="14"/>
        <v/>
      </c>
      <c r="T179" s="25" t="str">
        <f t="shared" si="15"/>
        <v/>
      </c>
      <c r="U179" s="26"/>
      <c r="V179" s="20"/>
      <c r="W179" s="27" t="str">
        <f t="shared" si="16"/>
        <v/>
      </c>
      <c r="X179" s="22"/>
      <c r="Y179" s="23" t="str">
        <f t="shared" ca="1" si="17"/>
        <v/>
      </c>
      <c r="Z179" s="20"/>
      <c r="AA179" s="28" t="str">
        <f>IF($F179="","",IF($M179="","Missing expiry",IF($N179&lt;0,"Expired",IF($N179&lt;=Settings!$B$2,"Urgent",IF($N179&lt;=Settings!$B$3,"Review","Active")))))</f>
        <v/>
      </c>
      <c r="AB179" s="28" t="str">
        <f>IF($F179="","",IF($X179="","",IF($Y179&lt;0,"Past EOL",IF($Y179&lt;=Settings!$B$4,"EOL soon","Supported"))))</f>
        <v/>
      </c>
      <c r="AC179" s="28" t="str">
        <f t="shared" si="18"/>
        <v/>
      </c>
      <c r="AD179" s="20"/>
      <c r="AE179" s="22"/>
      <c r="AF179" s="21"/>
      <c r="AG179" s="21"/>
    </row>
    <row r="180" spans="1:33">
      <c r="A180" s="20"/>
      <c r="B180" s="20"/>
      <c r="C180" s="44"/>
      <c r="D180" s="44"/>
      <c r="E180" s="20"/>
      <c r="F180" s="21"/>
      <c r="G180" s="21"/>
      <c r="H180" s="20"/>
      <c r="I180" s="20"/>
      <c r="J180" s="20"/>
      <c r="K180" s="21"/>
      <c r="L180" s="22"/>
      <c r="M180" s="22"/>
      <c r="N180" s="23" t="str">
        <f t="shared" ca="1" si="13"/>
        <v/>
      </c>
      <c r="O180" s="20"/>
      <c r="P180" s="20"/>
      <c r="Q180" s="24"/>
      <c r="R180" s="24"/>
      <c r="S180" s="23" t="str">
        <f t="shared" si="14"/>
        <v/>
      </c>
      <c r="T180" s="25" t="str">
        <f t="shared" si="15"/>
        <v/>
      </c>
      <c r="U180" s="26"/>
      <c r="V180" s="20"/>
      <c r="W180" s="27" t="str">
        <f t="shared" si="16"/>
        <v/>
      </c>
      <c r="X180" s="22"/>
      <c r="Y180" s="23" t="str">
        <f t="shared" ca="1" si="17"/>
        <v/>
      </c>
      <c r="Z180" s="20"/>
      <c r="AA180" s="28" t="str">
        <f>IF($F180="","",IF($M180="","Missing expiry",IF($N180&lt;0,"Expired",IF($N180&lt;=Settings!$B$2,"Urgent",IF($N180&lt;=Settings!$B$3,"Review","Active")))))</f>
        <v/>
      </c>
      <c r="AB180" s="28" t="str">
        <f>IF($F180="","",IF($X180="","",IF($Y180&lt;0,"Past EOL",IF($Y180&lt;=Settings!$B$4,"EOL soon","Supported"))))</f>
        <v/>
      </c>
      <c r="AC180" s="28" t="str">
        <f t="shared" si="18"/>
        <v/>
      </c>
      <c r="AD180" s="20"/>
      <c r="AE180" s="22"/>
      <c r="AF180" s="21"/>
      <c r="AG180" s="21"/>
    </row>
    <row r="181" spans="1:33">
      <c r="A181" s="20"/>
      <c r="B181" s="20"/>
      <c r="C181" s="44"/>
      <c r="D181" s="44"/>
      <c r="E181" s="20"/>
      <c r="F181" s="21"/>
      <c r="G181" s="21"/>
      <c r="H181" s="20"/>
      <c r="I181" s="20"/>
      <c r="J181" s="20"/>
      <c r="K181" s="21"/>
      <c r="L181" s="22"/>
      <c r="M181" s="22"/>
      <c r="N181" s="23" t="str">
        <f t="shared" ca="1" si="13"/>
        <v/>
      </c>
      <c r="O181" s="20"/>
      <c r="P181" s="20"/>
      <c r="Q181" s="24"/>
      <c r="R181" s="24"/>
      <c r="S181" s="23" t="str">
        <f t="shared" si="14"/>
        <v/>
      </c>
      <c r="T181" s="25" t="str">
        <f t="shared" si="15"/>
        <v/>
      </c>
      <c r="U181" s="26"/>
      <c r="V181" s="20"/>
      <c r="W181" s="27" t="str">
        <f t="shared" si="16"/>
        <v/>
      </c>
      <c r="X181" s="22"/>
      <c r="Y181" s="23" t="str">
        <f t="shared" ca="1" si="17"/>
        <v/>
      </c>
      <c r="Z181" s="20"/>
      <c r="AA181" s="28" t="str">
        <f>IF($F181="","",IF($M181="","Missing expiry",IF($N181&lt;0,"Expired",IF($N181&lt;=Settings!$B$2,"Urgent",IF($N181&lt;=Settings!$B$3,"Review","Active")))))</f>
        <v/>
      </c>
      <c r="AB181" s="28" t="str">
        <f>IF($F181="","",IF($X181="","",IF($Y181&lt;0,"Past EOL",IF($Y181&lt;=Settings!$B$4,"EOL soon","Supported"))))</f>
        <v/>
      </c>
      <c r="AC181" s="28" t="str">
        <f t="shared" si="18"/>
        <v/>
      </c>
      <c r="AD181" s="20"/>
      <c r="AE181" s="22"/>
      <c r="AF181" s="21"/>
      <c r="AG181" s="21"/>
    </row>
    <row r="182" spans="1:33">
      <c r="A182" s="20"/>
      <c r="B182" s="20"/>
      <c r="C182" s="44"/>
      <c r="D182" s="44"/>
      <c r="E182" s="20"/>
      <c r="F182" s="21"/>
      <c r="G182" s="21"/>
      <c r="H182" s="20"/>
      <c r="I182" s="20"/>
      <c r="J182" s="20"/>
      <c r="K182" s="21"/>
      <c r="L182" s="22"/>
      <c r="M182" s="22"/>
      <c r="N182" s="23" t="str">
        <f t="shared" ca="1" si="13"/>
        <v/>
      </c>
      <c r="O182" s="20"/>
      <c r="P182" s="20"/>
      <c r="Q182" s="24"/>
      <c r="R182" s="24"/>
      <c r="S182" s="23" t="str">
        <f t="shared" si="14"/>
        <v/>
      </c>
      <c r="T182" s="25" t="str">
        <f t="shared" si="15"/>
        <v/>
      </c>
      <c r="U182" s="26"/>
      <c r="V182" s="20"/>
      <c r="W182" s="27" t="str">
        <f t="shared" si="16"/>
        <v/>
      </c>
      <c r="X182" s="22"/>
      <c r="Y182" s="23" t="str">
        <f t="shared" ca="1" si="17"/>
        <v/>
      </c>
      <c r="Z182" s="20"/>
      <c r="AA182" s="28" t="str">
        <f>IF($F182="","",IF($M182="","Missing expiry",IF($N182&lt;0,"Expired",IF($N182&lt;=Settings!$B$2,"Urgent",IF($N182&lt;=Settings!$B$3,"Review","Active")))))</f>
        <v/>
      </c>
      <c r="AB182" s="28" t="str">
        <f>IF($F182="","",IF($X182="","",IF($Y182&lt;0,"Past EOL",IF($Y182&lt;=Settings!$B$4,"EOL soon","Supported"))))</f>
        <v/>
      </c>
      <c r="AC182" s="28" t="str">
        <f t="shared" si="18"/>
        <v/>
      </c>
      <c r="AD182" s="20"/>
      <c r="AE182" s="22"/>
      <c r="AF182" s="21"/>
      <c r="AG182" s="21"/>
    </row>
    <row r="183" spans="1:33">
      <c r="A183" s="20"/>
      <c r="B183" s="20"/>
      <c r="C183" s="44"/>
      <c r="D183" s="44"/>
      <c r="E183" s="20"/>
      <c r="F183" s="21"/>
      <c r="G183" s="21"/>
      <c r="H183" s="20"/>
      <c r="I183" s="20"/>
      <c r="J183" s="20"/>
      <c r="K183" s="21"/>
      <c r="L183" s="22"/>
      <c r="M183" s="22"/>
      <c r="N183" s="23" t="str">
        <f t="shared" ca="1" si="13"/>
        <v/>
      </c>
      <c r="O183" s="20"/>
      <c r="P183" s="20"/>
      <c r="Q183" s="24"/>
      <c r="R183" s="24"/>
      <c r="S183" s="23" t="str">
        <f t="shared" si="14"/>
        <v/>
      </c>
      <c r="T183" s="25" t="str">
        <f t="shared" si="15"/>
        <v/>
      </c>
      <c r="U183" s="26"/>
      <c r="V183" s="20"/>
      <c r="W183" s="27" t="str">
        <f t="shared" si="16"/>
        <v/>
      </c>
      <c r="X183" s="22"/>
      <c r="Y183" s="23" t="str">
        <f t="shared" ca="1" si="17"/>
        <v/>
      </c>
      <c r="Z183" s="20"/>
      <c r="AA183" s="28" t="str">
        <f>IF($F183="","",IF($M183="","Missing expiry",IF($N183&lt;0,"Expired",IF($N183&lt;=Settings!$B$2,"Urgent",IF($N183&lt;=Settings!$B$3,"Review","Active")))))</f>
        <v/>
      </c>
      <c r="AB183" s="28" t="str">
        <f>IF($F183="","",IF($X183="","",IF($Y183&lt;0,"Past EOL",IF($Y183&lt;=Settings!$B$4,"EOL soon","Supported"))))</f>
        <v/>
      </c>
      <c r="AC183" s="28" t="str">
        <f t="shared" si="18"/>
        <v/>
      </c>
      <c r="AD183" s="20"/>
      <c r="AE183" s="22"/>
      <c r="AF183" s="21"/>
      <c r="AG183" s="21"/>
    </row>
    <row r="184" spans="1:33">
      <c r="A184" s="20"/>
      <c r="B184" s="20"/>
      <c r="C184" s="44"/>
      <c r="D184" s="44"/>
      <c r="E184" s="20"/>
      <c r="F184" s="21"/>
      <c r="G184" s="21"/>
      <c r="H184" s="20"/>
      <c r="I184" s="20"/>
      <c r="J184" s="20"/>
      <c r="K184" s="21"/>
      <c r="L184" s="22"/>
      <c r="M184" s="22"/>
      <c r="N184" s="23" t="str">
        <f t="shared" ca="1" si="13"/>
        <v/>
      </c>
      <c r="O184" s="20"/>
      <c r="P184" s="20"/>
      <c r="Q184" s="24"/>
      <c r="R184" s="24"/>
      <c r="S184" s="23" t="str">
        <f t="shared" si="14"/>
        <v/>
      </c>
      <c r="T184" s="25" t="str">
        <f t="shared" si="15"/>
        <v/>
      </c>
      <c r="U184" s="26"/>
      <c r="V184" s="20"/>
      <c r="W184" s="27" t="str">
        <f t="shared" si="16"/>
        <v/>
      </c>
      <c r="X184" s="22"/>
      <c r="Y184" s="23" t="str">
        <f t="shared" ca="1" si="17"/>
        <v/>
      </c>
      <c r="Z184" s="20"/>
      <c r="AA184" s="28" t="str">
        <f>IF($F184="","",IF($M184="","Missing expiry",IF($N184&lt;0,"Expired",IF($N184&lt;=Settings!$B$2,"Urgent",IF($N184&lt;=Settings!$B$3,"Review","Active")))))</f>
        <v/>
      </c>
      <c r="AB184" s="28" t="str">
        <f>IF($F184="","",IF($X184="","",IF($Y184&lt;0,"Past EOL",IF($Y184&lt;=Settings!$B$4,"EOL soon","Supported"))))</f>
        <v/>
      </c>
      <c r="AC184" s="28" t="str">
        <f t="shared" si="18"/>
        <v/>
      </c>
      <c r="AD184" s="20"/>
      <c r="AE184" s="22"/>
      <c r="AF184" s="21"/>
      <c r="AG184" s="21"/>
    </row>
    <row r="185" spans="1:33">
      <c r="A185" s="20"/>
      <c r="B185" s="20"/>
      <c r="C185" s="44"/>
      <c r="D185" s="44"/>
      <c r="E185" s="20"/>
      <c r="F185" s="21"/>
      <c r="G185" s="21"/>
      <c r="H185" s="20"/>
      <c r="I185" s="20"/>
      <c r="J185" s="20"/>
      <c r="K185" s="21"/>
      <c r="L185" s="22"/>
      <c r="M185" s="22"/>
      <c r="N185" s="23" t="str">
        <f t="shared" ca="1" si="13"/>
        <v/>
      </c>
      <c r="O185" s="20"/>
      <c r="P185" s="20"/>
      <c r="Q185" s="24"/>
      <c r="R185" s="24"/>
      <c r="S185" s="23" t="str">
        <f t="shared" si="14"/>
        <v/>
      </c>
      <c r="T185" s="25" t="str">
        <f t="shared" si="15"/>
        <v/>
      </c>
      <c r="U185" s="26"/>
      <c r="V185" s="20"/>
      <c r="W185" s="27" t="str">
        <f t="shared" si="16"/>
        <v/>
      </c>
      <c r="X185" s="22"/>
      <c r="Y185" s="23" t="str">
        <f t="shared" ca="1" si="17"/>
        <v/>
      </c>
      <c r="Z185" s="20"/>
      <c r="AA185" s="28" t="str">
        <f>IF($F185="","",IF($M185="","Missing expiry",IF($N185&lt;0,"Expired",IF($N185&lt;=Settings!$B$2,"Urgent",IF($N185&lt;=Settings!$B$3,"Review","Active")))))</f>
        <v/>
      </c>
      <c r="AB185" s="28" t="str">
        <f>IF($F185="","",IF($X185="","",IF($Y185&lt;0,"Past EOL",IF($Y185&lt;=Settings!$B$4,"EOL soon","Supported"))))</f>
        <v/>
      </c>
      <c r="AC185" s="28" t="str">
        <f t="shared" si="18"/>
        <v/>
      </c>
      <c r="AD185" s="20"/>
      <c r="AE185" s="22"/>
      <c r="AF185" s="21"/>
      <c r="AG185" s="21"/>
    </row>
    <row r="186" spans="1:33">
      <c r="A186" s="20"/>
      <c r="B186" s="20"/>
      <c r="C186" s="44"/>
      <c r="D186" s="44"/>
      <c r="E186" s="20"/>
      <c r="F186" s="21"/>
      <c r="G186" s="21"/>
      <c r="H186" s="20"/>
      <c r="I186" s="20"/>
      <c r="J186" s="20"/>
      <c r="K186" s="21"/>
      <c r="L186" s="22"/>
      <c r="M186" s="22"/>
      <c r="N186" s="23" t="str">
        <f t="shared" ca="1" si="13"/>
        <v/>
      </c>
      <c r="O186" s="20"/>
      <c r="P186" s="20"/>
      <c r="Q186" s="24"/>
      <c r="R186" s="24"/>
      <c r="S186" s="23" t="str">
        <f t="shared" si="14"/>
        <v/>
      </c>
      <c r="T186" s="25" t="str">
        <f t="shared" si="15"/>
        <v/>
      </c>
      <c r="U186" s="26"/>
      <c r="V186" s="20"/>
      <c r="W186" s="27" t="str">
        <f t="shared" si="16"/>
        <v/>
      </c>
      <c r="X186" s="22"/>
      <c r="Y186" s="23" t="str">
        <f t="shared" ca="1" si="17"/>
        <v/>
      </c>
      <c r="Z186" s="20"/>
      <c r="AA186" s="28" t="str">
        <f>IF($F186="","",IF($M186="","Missing expiry",IF($N186&lt;0,"Expired",IF($N186&lt;=Settings!$B$2,"Urgent",IF($N186&lt;=Settings!$B$3,"Review","Active")))))</f>
        <v/>
      </c>
      <c r="AB186" s="28" t="str">
        <f>IF($F186="","",IF($X186="","",IF($Y186&lt;0,"Past EOL",IF($Y186&lt;=Settings!$B$4,"EOL soon","Supported"))))</f>
        <v/>
      </c>
      <c r="AC186" s="28" t="str">
        <f t="shared" si="18"/>
        <v/>
      </c>
      <c r="AD186" s="20"/>
      <c r="AE186" s="22"/>
      <c r="AF186" s="21"/>
      <c r="AG186" s="21"/>
    </row>
    <row r="187" spans="1:33">
      <c r="A187" s="20"/>
      <c r="B187" s="20"/>
      <c r="C187" s="44"/>
      <c r="D187" s="44"/>
      <c r="E187" s="20"/>
      <c r="F187" s="21"/>
      <c r="G187" s="21"/>
      <c r="H187" s="20"/>
      <c r="I187" s="20"/>
      <c r="J187" s="20"/>
      <c r="K187" s="21"/>
      <c r="L187" s="22"/>
      <c r="M187" s="22"/>
      <c r="N187" s="23" t="str">
        <f t="shared" ca="1" si="13"/>
        <v/>
      </c>
      <c r="O187" s="20"/>
      <c r="P187" s="20"/>
      <c r="Q187" s="24"/>
      <c r="R187" s="24"/>
      <c r="S187" s="23" t="str">
        <f t="shared" si="14"/>
        <v/>
      </c>
      <c r="T187" s="25" t="str">
        <f t="shared" si="15"/>
        <v/>
      </c>
      <c r="U187" s="26"/>
      <c r="V187" s="20"/>
      <c r="W187" s="27" t="str">
        <f t="shared" si="16"/>
        <v/>
      </c>
      <c r="X187" s="22"/>
      <c r="Y187" s="23" t="str">
        <f t="shared" ca="1" si="17"/>
        <v/>
      </c>
      <c r="Z187" s="20"/>
      <c r="AA187" s="28" t="str">
        <f>IF($F187="","",IF($M187="","Missing expiry",IF($N187&lt;0,"Expired",IF($N187&lt;=Settings!$B$2,"Urgent",IF($N187&lt;=Settings!$B$3,"Review","Active")))))</f>
        <v/>
      </c>
      <c r="AB187" s="28" t="str">
        <f>IF($F187="","",IF($X187="","",IF($Y187&lt;0,"Past EOL",IF($Y187&lt;=Settings!$B$4,"EOL soon","Supported"))))</f>
        <v/>
      </c>
      <c r="AC187" s="28" t="str">
        <f t="shared" si="18"/>
        <v/>
      </c>
      <c r="AD187" s="20"/>
      <c r="AE187" s="22"/>
      <c r="AF187" s="21"/>
      <c r="AG187" s="21"/>
    </row>
    <row r="188" spans="1:33">
      <c r="A188" s="20"/>
      <c r="B188" s="20"/>
      <c r="C188" s="44"/>
      <c r="D188" s="44"/>
      <c r="E188" s="20"/>
      <c r="F188" s="21"/>
      <c r="G188" s="21"/>
      <c r="H188" s="20"/>
      <c r="I188" s="20"/>
      <c r="J188" s="20"/>
      <c r="K188" s="21"/>
      <c r="L188" s="22"/>
      <c r="M188" s="22"/>
      <c r="N188" s="23" t="str">
        <f t="shared" ca="1" si="13"/>
        <v/>
      </c>
      <c r="O188" s="20"/>
      <c r="P188" s="20"/>
      <c r="Q188" s="24"/>
      <c r="R188" s="24"/>
      <c r="S188" s="23" t="str">
        <f t="shared" si="14"/>
        <v/>
      </c>
      <c r="T188" s="25" t="str">
        <f t="shared" si="15"/>
        <v/>
      </c>
      <c r="U188" s="26"/>
      <c r="V188" s="20"/>
      <c r="W188" s="27" t="str">
        <f t="shared" si="16"/>
        <v/>
      </c>
      <c r="X188" s="22"/>
      <c r="Y188" s="23" t="str">
        <f t="shared" ca="1" si="17"/>
        <v/>
      </c>
      <c r="Z188" s="20"/>
      <c r="AA188" s="28" t="str">
        <f>IF($F188="","",IF($M188="","Missing expiry",IF($N188&lt;0,"Expired",IF($N188&lt;=Settings!$B$2,"Urgent",IF($N188&lt;=Settings!$B$3,"Review","Active")))))</f>
        <v/>
      </c>
      <c r="AB188" s="28" t="str">
        <f>IF($F188="","",IF($X188="","",IF($Y188&lt;0,"Past EOL",IF($Y188&lt;=Settings!$B$4,"EOL soon","Supported"))))</f>
        <v/>
      </c>
      <c r="AC188" s="28" t="str">
        <f t="shared" si="18"/>
        <v/>
      </c>
      <c r="AD188" s="20"/>
      <c r="AE188" s="22"/>
      <c r="AF188" s="21"/>
      <c r="AG188" s="21"/>
    </row>
    <row r="189" spans="1:33">
      <c r="A189" s="20"/>
      <c r="B189" s="20"/>
      <c r="C189" s="44"/>
      <c r="D189" s="44"/>
      <c r="E189" s="20"/>
      <c r="F189" s="21"/>
      <c r="G189" s="21"/>
      <c r="H189" s="20"/>
      <c r="I189" s="20"/>
      <c r="J189" s="20"/>
      <c r="K189" s="21"/>
      <c r="L189" s="22"/>
      <c r="M189" s="22"/>
      <c r="N189" s="23" t="str">
        <f t="shared" ca="1" si="13"/>
        <v/>
      </c>
      <c r="O189" s="20"/>
      <c r="P189" s="20"/>
      <c r="Q189" s="24"/>
      <c r="R189" s="24"/>
      <c r="S189" s="23" t="str">
        <f t="shared" si="14"/>
        <v/>
      </c>
      <c r="T189" s="25" t="str">
        <f t="shared" si="15"/>
        <v/>
      </c>
      <c r="U189" s="26"/>
      <c r="V189" s="20"/>
      <c r="W189" s="27" t="str">
        <f t="shared" si="16"/>
        <v/>
      </c>
      <c r="X189" s="22"/>
      <c r="Y189" s="23" t="str">
        <f t="shared" ca="1" si="17"/>
        <v/>
      </c>
      <c r="Z189" s="20"/>
      <c r="AA189" s="28" t="str">
        <f>IF($F189="","",IF($M189="","Missing expiry",IF($N189&lt;0,"Expired",IF($N189&lt;=Settings!$B$2,"Urgent",IF($N189&lt;=Settings!$B$3,"Review","Active")))))</f>
        <v/>
      </c>
      <c r="AB189" s="28" t="str">
        <f>IF($F189="","",IF($X189="","",IF($Y189&lt;0,"Past EOL",IF($Y189&lt;=Settings!$B$4,"EOL soon","Supported"))))</f>
        <v/>
      </c>
      <c r="AC189" s="28" t="str">
        <f t="shared" si="18"/>
        <v/>
      </c>
      <c r="AD189" s="20"/>
      <c r="AE189" s="22"/>
      <c r="AF189" s="21"/>
      <c r="AG189" s="21"/>
    </row>
    <row r="190" spans="1:33">
      <c r="A190" s="20"/>
      <c r="B190" s="20"/>
      <c r="C190" s="44"/>
      <c r="D190" s="44"/>
      <c r="E190" s="20"/>
      <c r="F190" s="21"/>
      <c r="G190" s="21"/>
      <c r="H190" s="20"/>
      <c r="I190" s="20"/>
      <c r="J190" s="20"/>
      <c r="K190" s="21"/>
      <c r="L190" s="22"/>
      <c r="M190" s="22"/>
      <c r="N190" s="23" t="str">
        <f t="shared" ca="1" si="13"/>
        <v/>
      </c>
      <c r="O190" s="20"/>
      <c r="P190" s="20"/>
      <c r="Q190" s="24"/>
      <c r="R190" s="24"/>
      <c r="S190" s="23" t="str">
        <f t="shared" si="14"/>
        <v/>
      </c>
      <c r="T190" s="25" t="str">
        <f t="shared" si="15"/>
        <v/>
      </c>
      <c r="U190" s="26"/>
      <c r="V190" s="20"/>
      <c r="W190" s="27" t="str">
        <f t="shared" si="16"/>
        <v/>
      </c>
      <c r="X190" s="22"/>
      <c r="Y190" s="23" t="str">
        <f t="shared" ca="1" si="17"/>
        <v/>
      </c>
      <c r="Z190" s="20"/>
      <c r="AA190" s="28" t="str">
        <f>IF($F190="","",IF($M190="","Missing expiry",IF($N190&lt;0,"Expired",IF($N190&lt;=Settings!$B$2,"Urgent",IF($N190&lt;=Settings!$B$3,"Review","Active")))))</f>
        <v/>
      </c>
      <c r="AB190" s="28" t="str">
        <f>IF($F190="","",IF($X190="","",IF($Y190&lt;0,"Past EOL",IF($Y190&lt;=Settings!$B$4,"EOL soon","Supported"))))</f>
        <v/>
      </c>
      <c r="AC190" s="28" t="str">
        <f t="shared" si="18"/>
        <v/>
      </c>
      <c r="AD190" s="20"/>
      <c r="AE190" s="22"/>
      <c r="AF190" s="21"/>
      <c r="AG190" s="21"/>
    </row>
    <row r="191" spans="1:33">
      <c r="A191" s="20"/>
      <c r="B191" s="20"/>
      <c r="C191" s="44"/>
      <c r="D191" s="44"/>
      <c r="E191" s="20"/>
      <c r="F191" s="21"/>
      <c r="G191" s="21"/>
      <c r="H191" s="20"/>
      <c r="I191" s="20"/>
      <c r="J191" s="20"/>
      <c r="K191" s="21"/>
      <c r="L191" s="22"/>
      <c r="M191" s="22"/>
      <c r="N191" s="23" t="str">
        <f t="shared" ca="1" si="13"/>
        <v/>
      </c>
      <c r="O191" s="20"/>
      <c r="P191" s="20"/>
      <c r="Q191" s="24"/>
      <c r="R191" s="24"/>
      <c r="S191" s="23" t="str">
        <f t="shared" si="14"/>
        <v/>
      </c>
      <c r="T191" s="25" t="str">
        <f t="shared" si="15"/>
        <v/>
      </c>
      <c r="U191" s="26"/>
      <c r="V191" s="20"/>
      <c r="W191" s="27" t="str">
        <f t="shared" si="16"/>
        <v/>
      </c>
      <c r="X191" s="22"/>
      <c r="Y191" s="23" t="str">
        <f t="shared" ca="1" si="17"/>
        <v/>
      </c>
      <c r="Z191" s="20"/>
      <c r="AA191" s="28" t="str">
        <f>IF($F191="","",IF($M191="","Missing expiry",IF($N191&lt;0,"Expired",IF($N191&lt;=Settings!$B$2,"Urgent",IF($N191&lt;=Settings!$B$3,"Review","Active")))))</f>
        <v/>
      </c>
      <c r="AB191" s="28" t="str">
        <f>IF($F191="","",IF($X191="","",IF($Y191&lt;0,"Past EOL",IF($Y191&lt;=Settings!$B$4,"EOL soon","Supported"))))</f>
        <v/>
      </c>
      <c r="AC191" s="28" t="str">
        <f t="shared" si="18"/>
        <v/>
      </c>
      <c r="AD191" s="20"/>
      <c r="AE191" s="22"/>
      <c r="AF191" s="21"/>
      <c r="AG191" s="21"/>
    </row>
    <row r="192" spans="1:33">
      <c r="A192" s="20"/>
      <c r="B192" s="20"/>
      <c r="C192" s="44"/>
      <c r="D192" s="44"/>
      <c r="E192" s="20"/>
      <c r="F192" s="21"/>
      <c r="G192" s="21"/>
      <c r="H192" s="20"/>
      <c r="I192" s="20"/>
      <c r="J192" s="20"/>
      <c r="K192" s="21"/>
      <c r="L192" s="22"/>
      <c r="M192" s="22"/>
      <c r="N192" s="23" t="str">
        <f t="shared" ca="1" si="13"/>
        <v/>
      </c>
      <c r="O192" s="20"/>
      <c r="P192" s="20"/>
      <c r="Q192" s="24"/>
      <c r="R192" s="24"/>
      <c r="S192" s="23" t="str">
        <f t="shared" si="14"/>
        <v/>
      </c>
      <c r="T192" s="25" t="str">
        <f t="shared" si="15"/>
        <v/>
      </c>
      <c r="U192" s="26"/>
      <c r="V192" s="20"/>
      <c r="W192" s="27" t="str">
        <f t="shared" si="16"/>
        <v/>
      </c>
      <c r="X192" s="22"/>
      <c r="Y192" s="23" t="str">
        <f t="shared" ca="1" si="17"/>
        <v/>
      </c>
      <c r="Z192" s="20"/>
      <c r="AA192" s="28" t="str">
        <f>IF($F192="","",IF($M192="","Missing expiry",IF($N192&lt;0,"Expired",IF($N192&lt;=Settings!$B$2,"Urgent",IF($N192&lt;=Settings!$B$3,"Review","Active")))))</f>
        <v/>
      </c>
      <c r="AB192" s="28" t="str">
        <f>IF($F192="","",IF($X192="","",IF($Y192&lt;0,"Past EOL",IF($Y192&lt;=Settings!$B$4,"EOL soon","Supported"))))</f>
        <v/>
      </c>
      <c r="AC192" s="28" t="str">
        <f t="shared" si="18"/>
        <v/>
      </c>
      <c r="AD192" s="20"/>
      <c r="AE192" s="22"/>
      <c r="AF192" s="21"/>
      <c r="AG192" s="21"/>
    </row>
    <row r="193" spans="1:33">
      <c r="A193" s="20"/>
      <c r="B193" s="20"/>
      <c r="C193" s="44"/>
      <c r="D193" s="44"/>
      <c r="E193" s="20"/>
      <c r="F193" s="21"/>
      <c r="G193" s="21"/>
      <c r="H193" s="20"/>
      <c r="I193" s="20"/>
      <c r="J193" s="20"/>
      <c r="K193" s="21"/>
      <c r="L193" s="22"/>
      <c r="M193" s="22"/>
      <c r="N193" s="23" t="str">
        <f t="shared" ca="1" si="13"/>
        <v/>
      </c>
      <c r="O193" s="20"/>
      <c r="P193" s="20"/>
      <c r="Q193" s="24"/>
      <c r="R193" s="24"/>
      <c r="S193" s="23" t="str">
        <f t="shared" si="14"/>
        <v/>
      </c>
      <c r="T193" s="25" t="str">
        <f t="shared" si="15"/>
        <v/>
      </c>
      <c r="U193" s="26"/>
      <c r="V193" s="20"/>
      <c r="W193" s="27" t="str">
        <f t="shared" si="16"/>
        <v/>
      </c>
      <c r="X193" s="22"/>
      <c r="Y193" s="23" t="str">
        <f t="shared" ca="1" si="17"/>
        <v/>
      </c>
      <c r="Z193" s="20"/>
      <c r="AA193" s="28" t="str">
        <f>IF($F193="","",IF($M193="","Missing expiry",IF($N193&lt;0,"Expired",IF($N193&lt;=Settings!$B$2,"Urgent",IF($N193&lt;=Settings!$B$3,"Review","Active")))))</f>
        <v/>
      </c>
      <c r="AB193" s="28" t="str">
        <f>IF($F193="","",IF($X193="","",IF($Y193&lt;0,"Past EOL",IF($Y193&lt;=Settings!$B$4,"EOL soon","Supported"))))</f>
        <v/>
      </c>
      <c r="AC193" s="28" t="str">
        <f t="shared" si="18"/>
        <v/>
      </c>
      <c r="AD193" s="20"/>
      <c r="AE193" s="22"/>
      <c r="AF193" s="21"/>
      <c r="AG193" s="21"/>
    </row>
    <row r="194" spans="1:33">
      <c r="A194" s="20"/>
      <c r="B194" s="20"/>
      <c r="C194" s="44"/>
      <c r="D194" s="44"/>
      <c r="E194" s="20"/>
      <c r="F194" s="21"/>
      <c r="G194" s="21"/>
      <c r="H194" s="20"/>
      <c r="I194" s="20"/>
      <c r="J194" s="20"/>
      <c r="K194" s="21"/>
      <c r="L194" s="22"/>
      <c r="M194" s="22"/>
      <c r="N194" s="23" t="str">
        <f t="shared" ca="1" si="13"/>
        <v/>
      </c>
      <c r="O194" s="20"/>
      <c r="P194" s="20"/>
      <c r="Q194" s="24"/>
      <c r="R194" s="24"/>
      <c r="S194" s="23" t="str">
        <f t="shared" si="14"/>
        <v/>
      </c>
      <c r="T194" s="25" t="str">
        <f t="shared" si="15"/>
        <v/>
      </c>
      <c r="U194" s="26"/>
      <c r="V194" s="20"/>
      <c r="W194" s="27" t="str">
        <f t="shared" si="16"/>
        <v/>
      </c>
      <c r="X194" s="22"/>
      <c r="Y194" s="23" t="str">
        <f t="shared" ca="1" si="17"/>
        <v/>
      </c>
      <c r="Z194" s="20"/>
      <c r="AA194" s="28" t="str">
        <f>IF($F194="","",IF($M194="","Missing expiry",IF($N194&lt;0,"Expired",IF($N194&lt;=Settings!$B$2,"Urgent",IF($N194&lt;=Settings!$B$3,"Review","Active")))))</f>
        <v/>
      </c>
      <c r="AB194" s="28" t="str">
        <f>IF($F194="","",IF($X194="","",IF($Y194&lt;0,"Past EOL",IF($Y194&lt;=Settings!$B$4,"EOL soon","Supported"))))</f>
        <v/>
      </c>
      <c r="AC194" s="28" t="str">
        <f t="shared" si="18"/>
        <v/>
      </c>
      <c r="AD194" s="20"/>
      <c r="AE194" s="22"/>
      <c r="AF194" s="21"/>
      <c r="AG194" s="21"/>
    </row>
    <row r="195" spans="1:33">
      <c r="A195" s="20"/>
      <c r="B195" s="20"/>
      <c r="C195" s="44"/>
      <c r="D195" s="44"/>
      <c r="E195" s="20"/>
      <c r="F195" s="21"/>
      <c r="G195" s="21"/>
      <c r="H195" s="20"/>
      <c r="I195" s="20"/>
      <c r="J195" s="20"/>
      <c r="K195" s="21"/>
      <c r="L195" s="22"/>
      <c r="M195" s="22"/>
      <c r="N195" s="23" t="str">
        <f t="shared" ca="1" si="13"/>
        <v/>
      </c>
      <c r="O195" s="20"/>
      <c r="P195" s="20"/>
      <c r="Q195" s="24"/>
      <c r="R195" s="24"/>
      <c r="S195" s="23" t="str">
        <f t="shared" si="14"/>
        <v/>
      </c>
      <c r="T195" s="25" t="str">
        <f t="shared" si="15"/>
        <v/>
      </c>
      <c r="U195" s="26"/>
      <c r="V195" s="20"/>
      <c r="W195" s="27" t="str">
        <f t="shared" si="16"/>
        <v/>
      </c>
      <c r="X195" s="22"/>
      <c r="Y195" s="23" t="str">
        <f t="shared" ca="1" si="17"/>
        <v/>
      </c>
      <c r="Z195" s="20"/>
      <c r="AA195" s="28" t="str">
        <f>IF($F195="","",IF($M195="","Missing expiry",IF($N195&lt;0,"Expired",IF($N195&lt;=Settings!$B$2,"Urgent",IF($N195&lt;=Settings!$B$3,"Review","Active")))))</f>
        <v/>
      </c>
      <c r="AB195" s="28" t="str">
        <f>IF($F195="","",IF($X195="","",IF($Y195&lt;0,"Past EOL",IF($Y195&lt;=Settings!$B$4,"EOL soon","Supported"))))</f>
        <v/>
      </c>
      <c r="AC195" s="28" t="str">
        <f t="shared" si="18"/>
        <v/>
      </c>
      <c r="AD195" s="20"/>
      <c r="AE195" s="22"/>
      <c r="AF195" s="21"/>
      <c r="AG195" s="21"/>
    </row>
    <row r="196" spans="1:33">
      <c r="A196" s="20"/>
      <c r="B196" s="20"/>
      <c r="C196" s="44"/>
      <c r="D196" s="44"/>
      <c r="E196" s="20"/>
      <c r="F196" s="21"/>
      <c r="G196" s="21"/>
      <c r="H196" s="20"/>
      <c r="I196" s="20"/>
      <c r="J196" s="20"/>
      <c r="K196" s="21"/>
      <c r="L196" s="22"/>
      <c r="M196" s="22"/>
      <c r="N196" s="23" t="str">
        <f t="shared" ca="1" si="13"/>
        <v/>
      </c>
      <c r="O196" s="20"/>
      <c r="P196" s="20"/>
      <c r="Q196" s="24"/>
      <c r="R196" s="24"/>
      <c r="S196" s="23" t="str">
        <f t="shared" si="14"/>
        <v/>
      </c>
      <c r="T196" s="25" t="str">
        <f t="shared" si="15"/>
        <v/>
      </c>
      <c r="U196" s="26"/>
      <c r="V196" s="20"/>
      <c r="W196" s="27" t="str">
        <f t="shared" si="16"/>
        <v/>
      </c>
      <c r="X196" s="22"/>
      <c r="Y196" s="23" t="str">
        <f t="shared" ca="1" si="17"/>
        <v/>
      </c>
      <c r="Z196" s="20"/>
      <c r="AA196" s="28" t="str">
        <f>IF($F196="","",IF($M196="","Missing expiry",IF($N196&lt;0,"Expired",IF($N196&lt;=Settings!$B$2,"Urgent",IF($N196&lt;=Settings!$B$3,"Review","Active")))))</f>
        <v/>
      </c>
      <c r="AB196" s="28" t="str">
        <f>IF($F196="","",IF($X196="","",IF($Y196&lt;0,"Past EOL",IF($Y196&lt;=Settings!$B$4,"EOL soon","Supported"))))</f>
        <v/>
      </c>
      <c r="AC196" s="28" t="str">
        <f t="shared" si="18"/>
        <v/>
      </c>
      <c r="AD196" s="20"/>
      <c r="AE196" s="22"/>
      <c r="AF196" s="21"/>
      <c r="AG196" s="21"/>
    </row>
    <row r="197" spans="1:33">
      <c r="A197" s="20"/>
      <c r="B197" s="20"/>
      <c r="C197" s="44"/>
      <c r="D197" s="44"/>
      <c r="E197" s="20"/>
      <c r="F197" s="21"/>
      <c r="G197" s="21"/>
      <c r="H197" s="20"/>
      <c r="I197" s="20"/>
      <c r="J197" s="20"/>
      <c r="K197" s="21"/>
      <c r="L197" s="22"/>
      <c r="M197" s="22"/>
      <c r="N197" s="23" t="str">
        <f t="shared" ca="1" si="13"/>
        <v/>
      </c>
      <c r="O197" s="20"/>
      <c r="P197" s="20"/>
      <c r="Q197" s="24"/>
      <c r="R197" s="24"/>
      <c r="S197" s="23" t="str">
        <f t="shared" si="14"/>
        <v/>
      </c>
      <c r="T197" s="25" t="str">
        <f t="shared" si="15"/>
        <v/>
      </c>
      <c r="U197" s="26"/>
      <c r="V197" s="20"/>
      <c r="W197" s="27" t="str">
        <f t="shared" si="16"/>
        <v/>
      </c>
      <c r="X197" s="22"/>
      <c r="Y197" s="23" t="str">
        <f t="shared" ca="1" si="17"/>
        <v/>
      </c>
      <c r="Z197" s="20"/>
      <c r="AA197" s="28" t="str">
        <f>IF($F197="","",IF($M197="","Missing expiry",IF($N197&lt;0,"Expired",IF($N197&lt;=Settings!$B$2,"Urgent",IF($N197&lt;=Settings!$B$3,"Review","Active")))))</f>
        <v/>
      </c>
      <c r="AB197" s="28" t="str">
        <f>IF($F197="","",IF($X197="","",IF($Y197&lt;0,"Past EOL",IF($Y197&lt;=Settings!$B$4,"EOL soon","Supported"))))</f>
        <v/>
      </c>
      <c r="AC197" s="28" t="str">
        <f t="shared" si="18"/>
        <v/>
      </c>
      <c r="AD197" s="20"/>
      <c r="AE197" s="22"/>
      <c r="AF197" s="21"/>
      <c r="AG197" s="21"/>
    </row>
    <row r="198" spans="1:33">
      <c r="A198" s="20"/>
      <c r="B198" s="20"/>
      <c r="C198" s="44"/>
      <c r="D198" s="44"/>
      <c r="E198" s="20"/>
      <c r="F198" s="21"/>
      <c r="G198" s="21"/>
      <c r="H198" s="20"/>
      <c r="I198" s="20"/>
      <c r="J198" s="20"/>
      <c r="K198" s="21"/>
      <c r="L198" s="22"/>
      <c r="M198" s="22"/>
      <c r="N198" s="23" t="str">
        <f t="shared" ca="1" si="13"/>
        <v/>
      </c>
      <c r="O198" s="20"/>
      <c r="P198" s="20"/>
      <c r="Q198" s="24"/>
      <c r="R198" s="24"/>
      <c r="S198" s="23" t="str">
        <f t="shared" si="14"/>
        <v/>
      </c>
      <c r="T198" s="25" t="str">
        <f t="shared" si="15"/>
        <v/>
      </c>
      <c r="U198" s="26"/>
      <c r="V198" s="20"/>
      <c r="W198" s="27" t="str">
        <f t="shared" si="16"/>
        <v/>
      </c>
      <c r="X198" s="22"/>
      <c r="Y198" s="23" t="str">
        <f t="shared" ca="1" si="17"/>
        <v/>
      </c>
      <c r="Z198" s="20"/>
      <c r="AA198" s="28" t="str">
        <f>IF($F198="","",IF($M198="","Missing expiry",IF($N198&lt;0,"Expired",IF($N198&lt;=Settings!$B$2,"Urgent",IF($N198&lt;=Settings!$B$3,"Review","Active")))))</f>
        <v/>
      </c>
      <c r="AB198" s="28" t="str">
        <f>IF($F198="","",IF($X198="","",IF($Y198&lt;0,"Past EOL",IF($Y198&lt;=Settings!$B$4,"EOL soon","Supported"))))</f>
        <v/>
      </c>
      <c r="AC198" s="28" t="str">
        <f t="shared" si="18"/>
        <v/>
      </c>
      <c r="AD198" s="20"/>
      <c r="AE198" s="22"/>
      <c r="AF198" s="21"/>
      <c r="AG198" s="21"/>
    </row>
    <row r="199" spans="1:33">
      <c r="A199" s="20"/>
      <c r="B199" s="20"/>
      <c r="C199" s="44"/>
      <c r="D199" s="44"/>
      <c r="E199" s="20"/>
      <c r="F199" s="21"/>
      <c r="G199" s="21"/>
      <c r="H199" s="20"/>
      <c r="I199" s="20"/>
      <c r="J199" s="20"/>
      <c r="K199" s="21"/>
      <c r="L199" s="22"/>
      <c r="M199" s="22"/>
      <c r="N199" s="23" t="str">
        <f t="shared" ref="N199:N262" ca="1" si="19">IF($F199="","",IF($M199="","",$M199-TODAY()))</f>
        <v/>
      </c>
      <c r="O199" s="20"/>
      <c r="P199" s="20"/>
      <c r="Q199" s="24"/>
      <c r="R199" s="24"/>
      <c r="S199" s="23" t="str">
        <f t="shared" ref="S199:S262" si="20">IF($F199="","",IF(OR($Q199="",$R199=""),"",$Q199-$R199))</f>
        <v/>
      </c>
      <c r="T199" s="25" t="str">
        <f t="shared" ref="T199:T262" si="21">IF($F199="","",IF(OR($Q199="",$Q199=0,$R199=""),"",$R199/$Q199))</f>
        <v/>
      </c>
      <c r="U199" s="26"/>
      <c r="V199" s="20"/>
      <c r="W199" s="27" t="str">
        <f t="shared" ref="W199:W262" si="22">IF($F199="","",IF(OR($U199="",$Q199=""),"",$U199*$Q199))</f>
        <v/>
      </c>
      <c r="X199" s="22"/>
      <c r="Y199" s="23" t="str">
        <f t="shared" ref="Y199:Y262" ca="1" si="23">IF($F199="","",IF($X199="","",$X199-TODAY()))</f>
        <v/>
      </c>
      <c r="Z199" s="20"/>
      <c r="AA199" s="28" t="str">
        <f>IF($F199="","",IF($M199="","Missing expiry",IF($N199&lt;0,"Expired",IF($N199&lt;=Settings!$B$2,"Urgent",IF($N199&lt;=Settings!$B$3,"Review","Active")))))</f>
        <v/>
      </c>
      <c r="AB199" s="28" t="str">
        <f>IF($F199="","",IF($X199="","",IF($Y199&lt;0,"Past EOL",IF($Y199&lt;=Settings!$B$4,"EOL soon","Supported"))))</f>
        <v/>
      </c>
      <c r="AC199" s="28" t="str">
        <f t="shared" ref="AC199:AC262" si="24">IF($F199="","",IF(OR($AA199="Expired",$AA199="Urgent",$AB199="Past EOL",$AB199="EOL soon"),"Yes","No"))</f>
        <v/>
      </c>
      <c r="AD199" s="20"/>
      <c r="AE199" s="22"/>
      <c r="AF199" s="21"/>
      <c r="AG199" s="21"/>
    </row>
    <row r="200" spans="1:33">
      <c r="A200" s="20"/>
      <c r="B200" s="20"/>
      <c r="C200" s="44"/>
      <c r="D200" s="44"/>
      <c r="E200" s="20"/>
      <c r="F200" s="21"/>
      <c r="G200" s="21"/>
      <c r="H200" s="20"/>
      <c r="I200" s="20"/>
      <c r="J200" s="20"/>
      <c r="K200" s="21"/>
      <c r="L200" s="22"/>
      <c r="M200" s="22"/>
      <c r="N200" s="23" t="str">
        <f t="shared" ca="1" si="19"/>
        <v/>
      </c>
      <c r="O200" s="20"/>
      <c r="P200" s="20"/>
      <c r="Q200" s="24"/>
      <c r="R200" s="24"/>
      <c r="S200" s="23" t="str">
        <f t="shared" si="20"/>
        <v/>
      </c>
      <c r="T200" s="25" t="str">
        <f t="shared" si="21"/>
        <v/>
      </c>
      <c r="U200" s="26"/>
      <c r="V200" s="20"/>
      <c r="W200" s="27" t="str">
        <f t="shared" si="22"/>
        <v/>
      </c>
      <c r="X200" s="22"/>
      <c r="Y200" s="23" t="str">
        <f t="shared" ca="1" si="23"/>
        <v/>
      </c>
      <c r="Z200" s="20"/>
      <c r="AA200" s="28" t="str">
        <f>IF($F200="","",IF($M200="","Missing expiry",IF($N200&lt;0,"Expired",IF($N200&lt;=Settings!$B$2,"Urgent",IF($N200&lt;=Settings!$B$3,"Review","Active")))))</f>
        <v/>
      </c>
      <c r="AB200" s="28" t="str">
        <f>IF($F200="","",IF($X200="","",IF($Y200&lt;0,"Past EOL",IF($Y200&lt;=Settings!$B$4,"EOL soon","Supported"))))</f>
        <v/>
      </c>
      <c r="AC200" s="28" t="str">
        <f t="shared" si="24"/>
        <v/>
      </c>
      <c r="AD200" s="20"/>
      <c r="AE200" s="22"/>
      <c r="AF200" s="21"/>
      <c r="AG200" s="21"/>
    </row>
    <row r="201" spans="1:33">
      <c r="A201" s="20"/>
      <c r="B201" s="20"/>
      <c r="C201" s="44"/>
      <c r="D201" s="44"/>
      <c r="E201" s="20"/>
      <c r="F201" s="21"/>
      <c r="G201" s="21"/>
      <c r="H201" s="20"/>
      <c r="I201" s="20"/>
      <c r="J201" s="20"/>
      <c r="K201" s="21"/>
      <c r="L201" s="22"/>
      <c r="M201" s="22"/>
      <c r="N201" s="23" t="str">
        <f t="shared" ca="1" si="19"/>
        <v/>
      </c>
      <c r="O201" s="20"/>
      <c r="P201" s="20"/>
      <c r="Q201" s="24"/>
      <c r="R201" s="24"/>
      <c r="S201" s="23" t="str">
        <f t="shared" si="20"/>
        <v/>
      </c>
      <c r="T201" s="25" t="str">
        <f t="shared" si="21"/>
        <v/>
      </c>
      <c r="U201" s="26"/>
      <c r="V201" s="20"/>
      <c r="W201" s="27" t="str">
        <f t="shared" si="22"/>
        <v/>
      </c>
      <c r="X201" s="22"/>
      <c r="Y201" s="23" t="str">
        <f t="shared" ca="1" si="23"/>
        <v/>
      </c>
      <c r="Z201" s="20"/>
      <c r="AA201" s="28" t="str">
        <f>IF($F201="","",IF($M201="","Missing expiry",IF($N201&lt;0,"Expired",IF($N201&lt;=Settings!$B$2,"Urgent",IF($N201&lt;=Settings!$B$3,"Review","Active")))))</f>
        <v/>
      </c>
      <c r="AB201" s="28" t="str">
        <f>IF($F201="","",IF($X201="","",IF($Y201&lt;0,"Past EOL",IF($Y201&lt;=Settings!$B$4,"EOL soon","Supported"))))</f>
        <v/>
      </c>
      <c r="AC201" s="28" t="str">
        <f t="shared" si="24"/>
        <v/>
      </c>
      <c r="AD201" s="20"/>
      <c r="AE201" s="22"/>
      <c r="AF201" s="21"/>
      <c r="AG201" s="21"/>
    </row>
    <row r="202" spans="1:33">
      <c r="A202" s="20"/>
      <c r="B202" s="20"/>
      <c r="C202" s="44"/>
      <c r="D202" s="44"/>
      <c r="E202" s="20"/>
      <c r="F202" s="21"/>
      <c r="G202" s="21"/>
      <c r="H202" s="20"/>
      <c r="I202" s="20"/>
      <c r="J202" s="20"/>
      <c r="K202" s="21"/>
      <c r="L202" s="22"/>
      <c r="M202" s="22"/>
      <c r="N202" s="23" t="str">
        <f t="shared" ca="1" si="19"/>
        <v/>
      </c>
      <c r="O202" s="20"/>
      <c r="P202" s="20"/>
      <c r="Q202" s="24"/>
      <c r="R202" s="24"/>
      <c r="S202" s="23" t="str">
        <f t="shared" si="20"/>
        <v/>
      </c>
      <c r="T202" s="25" t="str">
        <f t="shared" si="21"/>
        <v/>
      </c>
      <c r="U202" s="26"/>
      <c r="V202" s="20"/>
      <c r="W202" s="27" t="str">
        <f t="shared" si="22"/>
        <v/>
      </c>
      <c r="X202" s="22"/>
      <c r="Y202" s="23" t="str">
        <f t="shared" ca="1" si="23"/>
        <v/>
      </c>
      <c r="Z202" s="20"/>
      <c r="AA202" s="28" t="str">
        <f>IF($F202="","",IF($M202="","Missing expiry",IF($N202&lt;0,"Expired",IF($N202&lt;=Settings!$B$2,"Urgent",IF($N202&lt;=Settings!$B$3,"Review","Active")))))</f>
        <v/>
      </c>
      <c r="AB202" s="28" t="str">
        <f>IF($F202="","",IF($X202="","",IF($Y202&lt;0,"Past EOL",IF($Y202&lt;=Settings!$B$4,"EOL soon","Supported"))))</f>
        <v/>
      </c>
      <c r="AC202" s="28" t="str">
        <f t="shared" si="24"/>
        <v/>
      </c>
      <c r="AD202" s="20"/>
      <c r="AE202" s="22"/>
      <c r="AF202" s="21"/>
      <c r="AG202" s="21"/>
    </row>
    <row r="203" spans="1:33">
      <c r="A203" s="20"/>
      <c r="B203" s="20"/>
      <c r="C203" s="44"/>
      <c r="D203" s="44"/>
      <c r="E203" s="20"/>
      <c r="F203" s="21"/>
      <c r="G203" s="21"/>
      <c r="H203" s="20"/>
      <c r="I203" s="20"/>
      <c r="J203" s="20"/>
      <c r="K203" s="21"/>
      <c r="L203" s="22"/>
      <c r="M203" s="22"/>
      <c r="N203" s="23" t="str">
        <f t="shared" ca="1" si="19"/>
        <v/>
      </c>
      <c r="O203" s="20"/>
      <c r="P203" s="20"/>
      <c r="Q203" s="24"/>
      <c r="R203" s="24"/>
      <c r="S203" s="23" t="str">
        <f t="shared" si="20"/>
        <v/>
      </c>
      <c r="T203" s="25" t="str">
        <f t="shared" si="21"/>
        <v/>
      </c>
      <c r="U203" s="26"/>
      <c r="V203" s="20"/>
      <c r="W203" s="27" t="str">
        <f t="shared" si="22"/>
        <v/>
      </c>
      <c r="X203" s="22"/>
      <c r="Y203" s="23" t="str">
        <f t="shared" ca="1" si="23"/>
        <v/>
      </c>
      <c r="Z203" s="20"/>
      <c r="AA203" s="28" t="str">
        <f>IF($F203="","",IF($M203="","Missing expiry",IF($N203&lt;0,"Expired",IF($N203&lt;=Settings!$B$2,"Urgent",IF($N203&lt;=Settings!$B$3,"Review","Active")))))</f>
        <v/>
      </c>
      <c r="AB203" s="28" t="str">
        <f>IF($F203="","",IF($X203="","",IF($Y203&lt;0,"Past EOL",IF($Y203&lt;=Settings!$B$4,"EOL soon","Supported"))))</f>
        <v/>
      </c>
      <c r="AC203" s="28" t="str">
        <f t="shared" si="24"/>
        <v/>
      </c>
      <c r="AD203" s="20"/>
      <c r="AE203" s="22"/>
      <c r="AF203" s="21"/>
      <c r="AG203" s="21"/>
    </row>
    <row r="204" spans="1:33">
      <c r="A204" s="20"/>
      <c r="B204" s="20"/>
      <c r="C204" s="44"/>
      <c r="D204" s="44"/>
      <c r="E204" s="20"/>
      <c r="F204" s="21"/>
      <c r="G204" s="21"/>
      <c r="H204" s="20"/>
      <c r="I204" s="20"/>
      <c r="J204" s="20"/>
      <c r="K204" s="21"/>
      <c r="L204" s="22"/>
      <c r="M204" s="22"/>
      <c r="N204" s="23" t="str">
        <f t="shared" ca="1" si="19"/>
        <v/>
      </c>
      <c r="O204" s="20"/>
      <c r="P204" s="20"/>
      <c r="Q204" s="24"/>
      <c r="R204" s="24"/>
      <c r="S204" s="23" t="str">
        <f t="shared" si="20"/>
        <v/>
      </c>
      <c r="T204" s="25" t="str">
        <f t="shared" si="21"/>
        <v/>
      </c>
      <c r="U204" s="26"/>
      <c r="V204" s="20"/>
      <c r="W204" s="27" t="str">
        <f t="shared" si="22"/>
        <v/>
      </c>
      <c r="X204" s="22"/>
      <c r="Y204" s="23" t="str">
        <f t="shared" ca="1" si="23"/>
        <v/>
      </c>
      <c r="Z204" s="20"/>
      <c r="AA204" s="28" t="str">
        <f>IF($F204="","",IF($M204="","Missing expiry",IF($N204&lt;0,"Expired",IF($N204&lt;=Settings!$B$2,"Urgent",IF($N204&lt;=Settings!$B$3,"Review","Active")))))</f>
        <v/>
      </c>
      <c r="AB204" s="28" t="str">
        <f>IF($F204="","",IF($X204="","",IF($Y204&lt;0,"Past EOL",IF($Y204&lt;=Settings!$B$4,"EOL soon","Supported"))))</f>
        <v/>
      </c>
      <c r="AC204" s="28" t="str">
        <f t="shared" si="24"/>
        <v/>
      </c>
      <c r="AD204" s="20"/>
      <c r="AE204" s="22"/>
      <c r="AF204" s="21"/>
      <c r="AG204" s="21"/>
    </row>
    <row r="205" spans="1:33">
      <c r="A205" s="20"/>
      <c r="B205" s="20"/>
      <c r="C205" s="44"/>
      <c r="D205" s="44"/>
      <c r="E205" s="20"/>
      <c r="F205" s="21"/>
      <c r="G205" s="21"/>
      <c r="H205" s="20"/>
      <c r="I205" s="20"/>
      <c r="J205" s="20"/>
      <c r="K205" s="21"/>
      <c r="L205" s="22"/>
      <c r="M205" s="22"/>
      <c r="N205" s="23" t="str">
        <f t="shared" ca="1" si="19"/>
        <v/>
      </c>
      <c r="O205" s="20"/>
      <c r="P205" s="20"/>
      <c r="Q205" s="24"/>
      <c r="R205" s="24"/>
      <c r="S205" s="23" t="str">
        <f t="shared" si="20"/>
        <v/>
      </c>
      <c r="T205" s="25" t="str">
        <f t="shared" si="21"/>
        <v/>
      </c>
      <c r="U205" s="26"/>
      <c r="V205" s="20"/>
      <c r="W205" s="27" t="str">
        <f t="shared" si="22"/>
        <v/>
      </c>
      <c r="X205" s="22"/>
      <c r="Y205" s="23" t="str">
        <f t="shared" ca="1" si="23"/>
        <v/>
      </c>
      <c r="Z205" s="20"/>
      <c r="AA205" s="28" t="str">
        <f>IF($F205="","",IF($M205="","Missing expiry",IF($N205&lt;0,"Expired",IF($N205&lt;=Settings!$B$2,"Urgent",IF($N205&lt;=Settings!$B$3,"Review","Active")))))</f>
        <v/>
      </c>
      <c r="AB205" s="28" t="str">
        <f>IF($F205="","",IF($X205="","",IF($Y205&lt;0,"Past EOL",IF($Y205&lt;=Settings!$B$4,"EOL soon","Supported"))))</f>
        <v/>
      </c>
      <c r="AC205" s="28" t="str">
        <f t="shared" si="24"/>
        <v/>
      </c>
      <c r="AD205" s="20"/>
      <c r="AE205" s="22"/>
      <c r="AF205" s="21"/>
      <c r="AG205" s="21"/>
    </row>
    <row r="206" spans="1:33">
      <c r="A206" s="20"/>
      <c r="B206" s="20"/>
      <c r="C206" s="44"/>
      <c r="D206" s="44"/>
      <c r="E206" s="20"/>
      <c r="F206" s="21"/>
      <c r="G206" s="21"/>
      <c r="H206" s="20"/>
      <c r="I206" s="20"/>
      <c r="J206" s="20"/>
      <c r="K206" s="21"/>
      <c r="L206" s="22"/>
      <c r="M206" s="22"/>
      <c r="N206" s="23" t="str">
        <f t="shared" ca="1" si="19"/>
        <v/>
      </c>
      <c r="O206" s="20"/>
      <c r="P206" s="20"/>
      <c r="Q206" s="24"/>
      <c r="R206" s="24"/>
      <c r="S206" s="23" t="str">
        <f t="shared" si="20"/>
        <v/>
      </c>
      <c r="T206" s="25" t="str">
        <f t="shared" si="21"/>
        <v/>
      </c>
      <c r="U206" s="26"/>
      <c r="V206" s="20"/>
      <c r="W206" s="27" t="str">
        <f t="shared" si="22"/>
        <v/>
      </c>
      <c r="X206" s="22"/>
      <c r="Y206" s="23" t="str">
        <f t="shared" ca="1" si="23"/>
        <v/>
      </c>
      <c r="Z206" s="20"/>
      <c r="AA206" s="28" t="str">
        <f>IF($F206="","",IF($M206="","Missing expiry",IF($N206&lt;0,"Expired",IF($N206&lt;=Settings!$B$2,"Urgent",IF($N206&lt;=Settings!$B$3,"Review","Active")))))</f>
        <v/>
      </c>
      <c r="AB206" s="28" t="str">
        <f>IF($F206="","",IF($X206="","",IF($Y206&lt;0,"Past EOL",IF($Y206&lt;=Settings!$B$4,"EOL soon","Supported"))))</f>
        <v/>
      </c>
      <c r="AC206" s="28" t="str">
        <f t="shared" si="24"/>
        <v/>
      </c>
      <c r="AD206" s="20"/>
      <c r="AE206" s="22"/>
      <c r="AF206" s="21"/>
      <c r="AG206" s="21"/>
    </row>
    <row r="207" spans="1:33">
      <c r="A207" s="20"/>
      <c r="B207" s="20"/>
      <c r="C207" s="44"/>
      <c r="D207" s="44"/>
      <c r="E207" s="20"/>
      <c r="F207" s="21"/>
      <c r="G207" s="21"/>
      <c r="H207" s="20"/>
      <c r="I207" s="20"/>
      <c r="J207" s="20"/>
      <c r="K207" s="21"/>
      <c r="L207" s="22"/>
      <c r="M207" s="22"/>
      <c r="N207" s="23" t="str">
        <f t="shared" ca="1" si="19"/>
        <v/>
      </c>
      <c r="O207" s="20"/>
      <c r="P207" s="20"/>
      <c r="Q207" s="24"/>
      <c r="R207" s="24"/>
      <c r="S207" s="23" t="str">
        <f t="shared" si="20"/>
        <v/>
      </c>
      <c r="T207" s="25" t="str">
        <f t="shared" si="21"/>
        <v/>
      </c>
      <c r="U207" s="26"/>
      <c r="V207" s="20"/>
      <c r="W207" s="27" t="str">
        <f t="shared" si="22"/>
        <v/>
      </c>
      <c r="X207" s="22"/>
      <c r="Y207" s="23" t="str">
        <f t="shared" ca="1" si="23"/>
        <v/>
      </c>
      <c r="Z207" s="20"/>
      <c r="AA207" s="28" t="str">
        <f>IF($F207="","",IF($M207="","Missing expiry",IF($N207&lt;0,"Expired",IF($N207&lt;=Settings!$B$2,"Urgent",IF($N207&lt;=Settings!$B$3,"Review","Active")))))</f>
        <v/>
      </c>
      <c r="AB207" s="28" t="str">
        <f>IF($F207="","",IF($X207="","",IF($Y207&lt;0,"Past EOL",IF($Y207&lt;=Settings!$B$4,"EOL soon","Supported"))))</f>
        <v/>
      </c>
      <c r="AC207" s="28" t="str">
        <f t="shared" si="24"/>
        <v/>
      </c>
      <c r="AD207" s="20"/>
      <c r="AE207" s="22"/>
      <c r="AF207" s="21"/>
      <c r="AG207" s="21"/>
    </row>
    <row r="208" spans="1:33">
      <c r="A208" s="20"/>
      <c r="B208" s="20"/>
      <c r="C208" s="44"/>
      <c r="D208" s="44"/>
      <c r="E208" s="20"/>
      <c r="F208" s="21"/>
      <c r="G208" s="21"/>
      <c r="H208" s="20"/>
      <c r="I208" s="20"/>
      <c r="J208" s="20"/>
      <c r="K208" s="21"/>
      <c r="L208" s="22"/>
      <c r="M208" s="22"/>
      <c r="N208" s="23" t="str">
        <f t="shared" ca="1" si="19"/>
        <v/>
      </c>
      <c r="O208" s="20"/>
      <c r="P208" s="20"/>
      <c r="Q208" s="24"/>
      <c r="R208" s="24"/>
      <c r="S208" s="23" t="str">
        <f t="shared" si="20"/>
        <v/>
      </c>
      <c r="T208" s="25" t="str">
        <f t="shared" si="21"/>
        <v/>
      </c>
      <c r="U208" s="26"/>
      <c r="V208" s="20"/>
      <c r="W208" s="27" t="str">
        <f t="shared" si="22"/>
        <v/>
      </c>
      <c r="X208" s="22"/>
      <c r="Y208" s="23" t="str">
        <f t="shared" ca="1" si="23"/>
        <v/>
      </c>
      <c r="Z208" s="20"/>
      <c r="AA208" s="28" t="str">
        <f>IF($F208="","",IF($M208="","Missing expiry",IF($N208&lt;0,"Expired",IF($N208&lt;=Settings!$B$2,"Urgent",IF($N208&lt;=Settings!$B$3,"Review","Active")))))</f>
        <v/>
      </c>
      <c r="AB208" s="28" t="str">
        <f>IF($F208="","",IF($X208="","",IF($Y208&lt;0,"Past EOL",IF($Y208&lt;=Settings!$B$4,"EOL soon","Supported"))))</f>
        <v/>
      </c>
      <c r="AC208" s="28" t="str">
        <f t="shared" si="24"/>
        <v/>
      </c>
      <c r="AD208" s="20"/>
      <c r="AE208" s="22"/>
      <c r="AF208" s="21"/>
      <c r="AG208" s="21"/>
    </row>
    <row r="209" spans="1:33">
      <c r="A209" s="20"/>
      <c r="B209" s="20"/>
      <c r="C209" s="44"/>
      <c r="D209" s="44"/>
      <c r="E209" s="20"/>
      <c r="F209" s="21"/>
      <c r="G209" s="21"/>
      <c r="H209" s="20"/>
      <c r="I209" s="20"/>
      <c r="J209" s="20"/>
      <c r="K209" s="21"/>
      <c r="L209" s="22"/>
      <c r="M209" s="22"/>
      <c r="N209" s="23" t="str">
        <f t="shared" ca="1" si="19"/>
        <v/>
      </c>
      <c r="O209" s="20"/>
      <c r="P209" s="20"/>
      <c r="Q209" s="24"/>
      <c r="R209" s="24"/>
      <c r="S209" s="23" t="str">
        <f t="shared" si="20"/>
        <v/>
      </c>
      <c r="T209" s="25" t="str">
        <f t="shared" si="21"/>
        <v/>
      </c>
      <c r="U209" s="26"/>
      <c r="V209" s="20"/>
      <c r="W209" s="27" t="str">
        <f t="shared" si="22"/>
        <v/>
      </c>
      <c r="X209" s="22"/>
      <c r="Y209" s="23" t="str">
        <f t="shared" ca="1" si="23"/>
        <v/>
      </c>
      <c r="Z209" s="20"/>
      <c r="AA209" s="28" t="str">
        <f>IF($F209="","",IF($M209="","Missing expiry",IF($N209&lt;0,"Expired",IF($N209&lt;=Settings!$B$2,"Urgent",IF($N209&lt;=Settings!$B$3,"Review","Active")))))</f>
        <v/>
      </c>
      <c r="AB209" s="28" t="str">
        <f>IF($F209="","",IF($X209="","",IF($Y209&lt;0,"Past EOL",IF($Y209&lt;=Settings!$B$4,"EOL soon","Supported"))))</f>
        <v/>
      </c>
      <c r="AC209" s="28" t="str">
        <f t="shared" si="24"/>
        <v/>
      </c>
      <c r="AD209" s="20"/>
      <c r="AE209" s="22"/>
      <c r="AF209" s="21"/>
      <c r="AG209" s="21"/>
    </row>
    <row r="210" spans="1:33">
      <c r="A210" s="20"/>
      <c r="B210" s="20"/>
      <c r="C210" s="44"/>
      <c r="D210" s="44"/>
      <c r="E210" s="20"/>
      <c r="F210" s="21"/>
      <c r="G210" s="21"/>
      <c r="H210" s="20"/>
      <c r="I210" s="20"/>
      <c r="J210" s="20"/>
      <c r="K210" s="21"/>
      <c r="L210" s="22"/>
      <c r="M210" s="22"/>
      <c r="N210" s="23" t="str">
        <f t="shared" ca="1" si="19"/>
        <v/>
      </c>
      <c r="O210" s="20"/>
      <c r="P210" s="20"/>
      <c r="Q210" s="24"/>
      <c r="R210" s="24"/>
      <c r="S210" s="23" t="str">
        <f t="shared" si="20"/>
        <v/>
      </c>
      <c r="T210" s="25" t="str">
        <f t="shared" si="21"/>
        <v/>
      </c>
      <c r="U210" s="26"/>
      <c r="V210" s="20"/>
      <c r="W210" s="27" t="str">
        <f t="shared" si="22"/>
        <v/>
      </c>
      <c r="X210" s="22"/>
      <c r="Y210" s="23" t="str">
        <f t="shared" ca="1" si="23"/>
        <v/>
      </c>
      <c r="Z210" s="20"/>
      <c r="AA210" s="28" t="str">
        <f>IF($F210="","",IF($M210="","Missing expiry",IF($N210&lt;0,"Expired",IF($N210&lt;=Settings!$B$2,"Urgent",IF($N210&lt;=Settings!$B$3,"Review","Active")))))</f>
        <v/>
      </c>
      <c r="AB210" s="28" t="str">
        <f>IF($F210="","",IF($X210="","",IF($Y210&lt;0,"Past EOL",IF($Y210&lt;=Settings!$B$4,"EOL soon","Supported"))))</f>
        <v/>
      </c>
      <c r="AC210" s="28" t="str">
        <f t="shared" si="24"/>
        <v/>
      </c>
      <c r="AD210" s="20"/>
      <c r="AE210" s="22"/>
      <c r="AF210" s="21"/>
      <c r="AG210" s="21"/>
    </row>
    <row r="211" spans="1:33">
      <c r="A211" s="20"/>
      <c r="B211" s="20"/>
      <c r="C211" s="44"/>
      <c r="D211" s="44"/>
      <c r="E211" s="20"/>
      <c r="F211" s="21"/>
      <c r="G211" s="21"/>
      <c r="H211" s="20"/>
      <c r="I211" s="20"/>
      <c r="J211" s="20"/>
      <c r="K211" s="21"/>
      <c r="L211" s="22"/>
      <c r="M211" s="22"/>
      <c r="N211" s="23" t="str">
        <f t="shared" ca="1" si="19"/>
        <v/>
      </c>
      <c r="O211" s="20"/>
      <c r="P211" s="20"/>
      <c r="Q211" s="24"/>
      <c r="R211" s="24"/>
      <c r="S211" s="23" t="str">
        <f t="shared" si="20"/>
        <v/>
      </c>
      <c r="T211" s="25" t="str">
        <f t="shared" si="21"/>
        <v/>
      </c>
      <c r="U211" s="26"/>
      <c r="V211" s="20"/>
      <c r="W211" s="27" t="str">
        <f t="shared" si="22"/>
        <v/>
      </c>
      <c r="X211" s="22"/>
      <c r="Y211" s="23" t="str">
        <f t="shared" ca="1" si="23"/>
        <v/>
      </c>
      <c r="Z211" s="20"/>
      <c r="AA211" s="28" t="str">
        <f>IF($F211="","",IF($M211="","Missing expiry",IF($N211&lt;0,"Expired",IF($N211&lt;=Settings!$B$2,"Urgent",IF($N211&lt;=Settings!$B$3,"Review","Active")))))</f>
        <v/>
      </c>
      <c r="AB211" s="28" t="str">
        <f>IF($F211="","",IF($X211="","",IF($Y211&lt;0,"Past EOL",IF($Y211&lt;=Settings!$B$4,"EOL soon","Supported"))))</f>
        <v/>
      </c>
      <c r="AC211" s="28" t="str">
        <f t="shared" si="24"/>
        <v/>
      </c>
      <c r="AD211" s="20"/>
      <c r="AE211" s="22"/>
      <c r="AF211" s="21"/>
      <c r="AG211" s="21"/>
    </row>
    <row r="212" spans="1:33">
      <c r="A212" s="20"/>
      <c r="B212" s="20"/>
      <c r="C212" s="44"/>
      <c r="D212" s="44"/>
      <c r="E212" s="20"/>
      <c r="F212" s="21"/>
      <c r="G212" s="21"/>
      <c r="H212" s="20"/>
      <c r="I212" s="20"/>
      <c r="J212" s="20"/>
      <c r="K212" s="21"/>
      <c r="L212" s="22"/>
      <c r="M212" s="22"/>
      <c r="N212" s="23" t="str">
        <f t="shared" ca="1" si="19"/>
        <v/>
      </c>
      <c r="O212" s="20"/>
      <c r="P212" s="20"/>
      <c r="Q212" s="24"/>
      <c r="R212" s="24"/>
      <c r="S212" s="23" t="str">
        <f t="shared" si="20"/>
        <v/>
      </c>
      <c r="T212" s="25" t="str">
        <f t="shared" si="21"/>
        <v/>
      </c>
      <c r="U212" s="26"/>
      <c r="V212" s="20"/>
      <c r="W212" s="27" t="str">
        <f t="shared" si="22"/>
        <v/>
      </c>
      <c r="X212" s="22"/>
      <c r="Y212" s="23" t="str">
        <f t="shared" ca="1" si="23"/>
        <v/>
      </c>
      <c r="Z212" s="20"/>
      <c r="AA212" s="28" t="str">
        <f>IF($F212="","",IF($M212="","Missing expiry",IF($N212&lt;0,"Expired",IF($N212&lt;=Settings!$B$2,"Urgent",IF($N212&lt;=Settings!$B$3,"Review","Active")))))</f>
        <v/>
      </c>
      <c r="AB212" s="28" t="str">
        <f>IF($F212="","",IF($X212="","",IF($Y212&lt;0,"Past EOL",IF($Y212&lt;=Settings!$B$4,"EOL soon","Supported"))))</f>
        <v/>
      </c>
      <c r="AC212" s="28" t="str">
        <f t="shared" si="24"/>
        <v/>
      </c>
      <c r="AD212" s="20"/>
      <c r="AE212" s="22"/>
      <c r="AF212" s="21"/>
      <c r="AG212" s="21"/>
    </row>
    <row r="213" spans="1:33">
      <c r="A213" s="20"/>
      <c r="B213" s="20"/>
      <c r="C213" s="44"/>
      <c r="D213" s="44"/>
      <c r="E213" s="20"/>
      <c r="F213" s="21"/>
      <c r="G213" s="21"/>
      <c r="H213" s="20"/>
      <c r="I213" s="20"/>
      <c r="J213" s="20"/>
      <c r="K213" s="21"/>
      <c r="L213" s="22"/>
      <c r="M213" s="22"/>
      <c r="N213" s="23" t="str">
        <f t="shared" ca="1" si="19"/>
        <v/>
      </c>
      <c r="O213" s="20"/>
      <c r="P213" s="20"/>
      <c r="Q213" s="24"/>
      <c r="R213" s="24"/>
      <c r="S213" s="23" t="str">
        <f t="shared" si="20"/>
        <v/>
      </c>
      <c r="T213" s="25" t="str">
        <f t="shared" si="21"/>
        <v/>
      </c>
      <c r="U213" s="26"/>
      <c r="V213" s="20"/>
      <c r="W213" s="27" t="str">
        <f t="shared" si="22"/>
        <v/>
      </c>
      <c r="X213" s="22"/>
      <c r="Y213" s="23" t="str">
        <f t="shared" ca="1" si="23"/>
        <v/>
      </c>
      <c r="Z213" s="20"/>
      <c r="AA213" s="28" t="str">
        <f>IF($F213="","",IF($M213="","Missing expiry",IF($N213&lt;0,"Expired",IF($N213&lt;=Settings!$B$2,"Urgent",IF($N213&lt;=Settings!$B$3,"Review","Active")))))</f>
        <v/>
      </c>
      <c r="AB213" s="28" t="str">
        <f>IF($F213="","",IF($X213="","",IF($Y213&lt;0,"Past EOL",IF($Y213&lt;=Settings!$B$4,"EOL soon","Supported"))))</f>
        <v/>
      </c>
      <c r="AC213" s="28" t="str">
        <f t="shared" si="24"/>
        <v/>
      </c>
      <c r="AD213" s="20"/>
      <c r="AE213" s="22"/>
      <c r="AF213" s="21"/>
      <c r="AG213" s="21"/>
    </row>
    <row r="214" spans="1:33">
      <c r="A214" s="20"/>
      <c r="B214" s="20"/>
      <c r="C214" s="44"/>
      <c r="D214" s="44"/>
      <c r="E214" s="20"/>
      <c r="F214" s="21"/>
      <c r="G214" s="21"/>
      <c r="H214" s="20"/>
      <c r="I214" s="20"/>
      <c r="J214" s="20"/>
      <c r="K214" s="21"/>
      <c r="L214" s="22"/>
      <c r="M214" s="22"/>
      <c r="N214" s="23" t="str">
        <f t="shared" ca="1" si="19"/>
        <v/>
      </c>
      <c r="O214" s="20"/>
      <c r="P214" s="20"/>
      <c r="Q214" s="24"/>
      <c r="R214" s="24"/>
      <c r="S214" s="23" t="str">
        <f t="shared" si="20"/>
        <v/>
      </c>
      <c r="T214" s="25" t="str">
        <f t="shared" si="21"/>
        <v/>
      </c>
      <c r="U214" s="26"/>
      <c r="V214" s="20"/>
      <c r="W214" s="27" t="str">
        <f t="shared" si="22"/>
        <v/>
      </c>
      <c r="X214" s="22"/>
      <c r="Y214" s="23" t="str">
        <f t="shared" ca="1" si="23"/>
        <v/>
      </c>
      <c r="Z214" s="20"/>
      <c r="AA214" s="28" t="str">
        <f>IF($F214="","",IF($M214="","Missing expiry",IF($N214&lt;0,"Expired",IF($N214&lt;=Settings!$B$2,"Urgent",IF($N214&lt;=Settings!$B$3,"Review","Active")))))</f>
        <v/>
      </c>
      <c r="AB214" s="28" t="str">
        <f>IF($F214="","",IF($X214="","",IF($Y214&lt;0,"Past EOL",IF($Y214&lt;=Settings!$B$4,"EOL soon","Supported"))))</f>
        <v/>
      </c>
      <c r="AC214" s="28" t="str">
        <f t="shared" si="24"/>
        <v/>
      </c>
      <c r="AD214" s="20"/>
      <c r="AE214" s="22"/>
      <c r="AF214" s="21"/>
      <c r="AG214" s="21"/>
    </row>
    <row r="215" spans="1:33">
      <c r="A215" s="20"/>
      <c r="B215" s="20"/>
      <c r="C215" s="44"/>
      <c r="D215" s="44"/>
      <c r="E215" s="20"/>
      <c r="F215" s="21"/>
      <c r="G215" s="21"/>
      <c r="H215" s="20"/>
      <c r="I215" s="20"/>
      <c r="J215" s="20"/>
      <c r="K215" s="21"/>
      <c r="L215" s="22"/>
      <c r="M215" s="22"/>
      <c r="N215" s="23" t="str">
        <f t="shared" ca="1" si="19"/>
        <v/>
      </c>
      <c r="O215" s="20"/>
      <c r="P215" s="20"/>
      <c r="Q215" s="24"/>
      <c r="R215" s="24"/>
      <c r="S215" s="23" t="str">
        <f t="shared" si="20"/>
        <v/>
      </c>
      <c r="T215" s="25" t="str">
        <f t="shared" si="21"/>
        <v/>
      </c>
      <c r="U215" s="26"/>
      <c r="V215" s="20"/>
      <c r="W215" s="27" t="str">
        <f t="shared" si="22"/>
        <v/>
      </c>
      <c r="X215" s="22"/>
      <c r="Y215" s="23" t="str">
        <f t="shared" ca="1" si="23"/>
        <v/>
      </c>
      <c r="Z215" s="20"/>
      <c r="AA215" s="28" t="str">
        <f>IF($F215="","",IF($M215="","Missing expiry",IF($N215&lt;0,"Expired",IF($N215&lt;=Settings!$B$2,"Urgent",IF($N215&lt;=Settings!$B$3,"Review","Active")))))</f>
        <v/>
      </c>
      <c r="AB215" s="28" t="str">
        <f>IF($F215="","",IF($X215="","",IF($Y215&lt;0,"Past EOL",IF($Y215&lt;=Settings!$B$4,"EOL soon","Supported"))))</f>
        <v/>
      </c>
      <c r="AC215" s="28" t="str">
        <f t="shared" si="24"/>
        <v/>
      </c>
      <c r="AD215" s="20"/>
      <c r="AE215" s="22"/>
      <c r="AF215" s="21"/>
      <c r="AG215" s="21"/>
    </row>
    <row r="216" spans="1:33">
      <c r="A216" s="20"/>
      <c r="B216" s="20"/>
      <c r="C216" s="44"/>
      <c r="D216" s="44"/>
      <c r="E216" s="20"/>
      <c r="F216" s="21"/>
      <c r="G216" s="21"/>
      <c r="H216" s="20"/>
      <c r="I216" s="20"/>
      <c r="J216" s="20"/>
      <c r="K216" s="21"/>
      <c r="L216" s="22"/>
      <c r="M216" s="22"/>
      <c r="N216" s="23" t="str">
        <f t="shared" ca="1" si="19"/>
        <v/>
      </c>
      <c r="O216" s="20"/>
      <c r="P216" s="20"/>
      <c r="Q216" s="24"/>
      <c r="R216" s="24"/>
      <c r="S216" s="23" t="str">
        <f t="shared" si="20"/>
        <v/>
      </c>
      <c r="T216" s="25" t="str">
        <f t="shared" si="21"/>
        <v/>
      </c>
      <c r="U216" s="26"/>
      <c r="V216" s="20"/>
      <c r="W216" s="27" t="str">
        <f t="shared" si="22"/>
        <v/>
      </c>
      <c r="X216" s="22"/>
      <c r="Y216" s="23" t="str">
        <f t="shared" ca="1" si="23"/>
        <v/>
      </c>
      <c r="Z216" s="20"/>
      <c r="AA216" s="28" t="str">
        <f>IF($F216="","",IF($M216="","Missing expiry",IF($N216&lt;0,"Expired",IF($N216&lt;=Settings!$B$2,"Urgent",IF($N216&lt;=Settings!$B$3,"Review","Active")))))</f>
        <v/>
      </c>
      <c r="AB216" s="28" t="str">
        <f>IF($F216="","",IF($X216="","",IF($Y216&lt;0,"Past EOL",IF($Y216&lt;=Settings!$B$4,"EOL soon","Supported"))))</f>
        <v/>
      </c>
      <c r="AC216" s="28" t="str">
        <f t="shared" si="24"/>
        <v/>
      </c>
      <c r="AD216" s="20"/>
      <c r="AE216" s="22"/>
      <c r="AF216" s="21"/>
      <c r="AG216" s="21"/>
    </row>
    <row r="217" spans="1:33">
      <c r="A217" s="20"/>
      <c r="B217" s="20"/>
      <c r="C217" s="44"/>
      <c r="D217" s="44"/>
      <c r="E217" s="20"/>
      <c r="F217" s="21"/>
      <c r="G217" s="21"/>
      <c r="H217" s="20"/>
      <c r="I217" s="20"/>
      <c r="J217" s="20"/>
      <c r="K217" s="21"/>
      <c r="L217" s="22"/>
      <c r="M217" s="22"/>
      <c r="N217" s="23" t="str">
        <f t="shared" ca="1" si="19"/>
        <v/>
      </c>
      <c r="O217" s="20"/>
      <c r="P217" s="20"/>
      <c r="Q217" s="24"/>
      <c r="R217" s="24"/>
      <c r="S217" s="23" t="str">
        <f t="shared" si="20"/>
        <v/>
      </c>
      <c r="T217" s="25" t="str">
        <f t="shared" si="21"/>
        <v/>
      </c>
      <c r="U217" s="26"/>
      <c r="V217" s="20"/>
      <c r="W217" s="27" t="str">
        <f t="shared" si="22"/>
        <v/>
      </c>
      <c r="X217" s="22"/>
      <c r="Y217" s="23" t="str">
        <f t="shared" ca="1" si="23"/>
        <v/>
      </c>
      <c r="Z217" s="20"/>
      <c r="AA217" s="28" t="str">
        <f>IF($F217="","",IF($M217="","Missing expiry",IF($N217&lt;0,"Expired",IF($N217&lt;=Settings!$B$2,"Urgent",IF($N217&lt;=Settings!$B$3,"Review","Active")))))</f>
        <v/>
      </c>
      <c r="AB217" s="28" t="str">
        <f>IF($F217="","",IF($X217="","",IF($Y217&lt;0,"Past EOL",IF($Y217&lt;=Settings!$B$4,"EOL soon","Supported"))))</f>
        <v/>
      </c>
      <c r="AC217" s="28" t="str">
        <f t="shared" si="24"/>
        <v/>
      </c>
      <c r="AD217" s="20"/>
      <c r="AE217" s="22"/>
      <c r="AF217" s="21"/>
      <c r="AG217" s="21"/>
    </row>
    <row r="218" spans="1:33">
      <c r="A218" s="20"/>
      <c r="B218" s="20"/>
      <c r="C218" s="44"/>
      <c r="D218" s="44"/>
      <c r="E218" s="20"/>
      <c r="F218" s="21"/>
      <c r="G218" s="21"/>
      <c r="H218" s="20"/>
      <c r="I218" s="20"/>
      <c r="J218" s="20"/>
      <c r="K218" s="21"/>
      <c r="L218" s="22"/>
      <c r="M218" s="22"/>
      <c r="N218" s="23" t="str">
        <f t="shared" ca="1" si="19"/>
        <v/>
      </c>
      <c r="O218" s="20"/>
      <c r="P218" s="20"/>
      <c r="Q218" s="24"/>
      <c r="R218" s="24"/>
      <c r="S218" s="23" t="str">
        <f t="shared" si="20"/>
        <v/>
      </c>
      <c r="T218" s="25" t="str">
        <f t="shared" si="21"/>
        <v/>
      </c>
      <c r="U218" s="26"/>
      <c r="V218" s="20"/>
      <c r="W218" s="27" t="str">
        <f t="shared" si="22"/>
        <v/>
      </c>
      <c r="X218" s="22"/>
      <c r="Y218" s="23" t="str">
        <f t="shared" ca="1" si="23"/>
        <v/>
      </c>
      <c r="Z218" s="20"/>
      <c r="AA218" s="28" t="str">
        <f>IF($F218="","",IF($M218="","Missing expiry",IF($N218&lt;0,"Expired",IF($N218&lt;=Settings!$B$2,"Urgent",IF($N218&lt;=Settings!$B$3,"Review","Active")))))</f>
        <v/>
      </c>
      <c r="AB218" s="28" t="str">
        <f>IF($F218="","",IF($X218="","",IF($Y218&lt;0,"Past EOL",IF($Y218&lt;=Settings!$B$4,"EOL soon","Supported"))))</f>
        <v/>
      </c>
      <c r="AC218" s="28" t="str">
        <f t="shared" si="24"/>
        <v/>
      </c>
      <c r="AD218" s="20"/>
      <c r="AE218" s="22"/>
      <c r="AF218" s="21"/>
      <c r="AG218" s="21"/>
    </row>
    <row r="219" spans="1:33">
      <c r="A219" s="20"/>
      <c r="B219" s="20"/>
      <c r="C219" s="44"/>
      <c r="D219" s="44"/>
      <c r="E219" s="20"/>
      <c r="F219" s="21"/>
      <c r="G219" s="21"/>
      <c r="H219" s="20"/>
      <c r="I219" s="20"/>
      <c r="J219" s="20"/>
      <c r="K219" s="21"/>
      <c r="L219" s="22"/>
      <c r="M219" s="22"/>
      <c r="N219" s="23" t="str">
        <f t="shared" ca="1" si="19"/>
        <v/>
      </c>
      <c r="O219" s="20"/>
      <c r="P219" s="20"/>
      <c r="Q219" s="24"/>
      <c r="R219" s="24"/>
      <c r="S219" s="23" t="str">
        <f t="shared" si="20"/>
        <v/>
      </c>
      <c r="T219" s="25" t="str">
        <f t="shared" si="21"/>
        <v/>
      </c>
      <c r="U219" s="26"/>
      <c r="V219" s="20"/>
      <c r="W219" s="27" t="str">
        <f t="shared" si="22"/>
        <v/>
      </c>
      <c r="X219" s="22"/>
      <c r="Y219" s="23" t="str">
        <f t="shared" ca="1" si="23"/>
        <v/>
      </c>
      <c r="Z219" s="20"/>
      <c r="AA219" s="28" t="str">
        <f>IF($F219="","",IF($M219="","Missing expiry",IF($N219&lt;0,"Expired",IF($N219&lt;=Settings!$B$2,"Urgent",IF($N219&lt;=Settings!$B$3,"Review","Active")))))</f>
        <v/>
      </c>
      <c r="AB219" s="28" t="str">
        <f>IF($F219="","",IF($X219="","",IF($Y219&lt;0,"Past EOL",IF($Y219&lt;=Settings!$B$4,"EOL soon","Supported"))))</f>
        <v/>
      </c>
      <c r="AC219" s="28" t="str">
        <f t="shared" si="24"/>
        <v/>
      </c>
      <c r="AD219" s="20"/>
      <c r="AE219" s="22"/>
      <c r="AF219" s="21"/>
      <c r="AG219" s="21"/>
    </row>
    <row r="220" spans="1:33">
      <c r="A220" s="20"/>
      <c r="B220" s="20"/>
      <c r="C220" s="44"/>
      <c r="D220" s="44"/>
      <c r="E220" s="20"/>
      <c r="F220" s="21"/>
      <c r="G220" s="21"/>
      <c r="H220" s="20"/>
      <c r="I220" s="20"/>
      <c r="J220" s="20"/>
      <c r="K220" s="21"/>
      <c r="L220" s="22"/>
      <c r="M220" s="22"/>
      <c r="N220" s="23" t="str">
        <f t="shared" ca="1" si="19"/>
        <v/>
      </c>
      <c r="O220" s="20"/>
      <c r="P220" s="20"/>
      <c r="Q220" s="24"/>
      <c r="R220" s="24"/>
      <c r="S220" s="23" t="str">
        <f t="shared" si="20"/>
        <v/>
      </c>
      <c r="T220" s="25" t="str">
        <f t="shared" si="21"/>
        <v/>
      </c>
      <c r="U220" s="26"/>
      <c r="V220" s="20"/>
      <c r="W220" s="27" t="str">
        <f t="shared" si="22"/>
        <v/>
      </c>
      <c r="X220" s="22"/>
      <c r="Y220" s="23" t="str">
        <f t="shared" ca="1" si="23"/>
        <v/>
      </c>
      <c r="Z220" s="20"/>
      <c r="AA220" s="28" t="str">
        <f>IF($F220="","",IF($M220="","Missing expiry",IF($N220&lt;0,"Expired",IF($N220&lt;=Settings!$B$2,"Urgent",IF($N220&lt;=Settings!$B$3,"Review","Active")))))</f>
        <v/>
      </c>
      <c r="AB220" s="28" t="str">
        <f>IF($F220="","",IF($X220="","",IF($Y220&lt;0,"Past EOL",IF($Y220&lt;=Settings!$B$4,"EOL soon","Supported"))))</f>
        <v/>
      </c>
      <c r="AC220" s="28" t="str">
        <f t="shared" si="24"/>
        <v/>
      </c>
      <c r="AD220" s="20"/>
      <c r="AE220" s="22"/>
      <c r="AF220" s="21"/>
      <c r="AG220" s="21"/>
    </row>
    <row r="221" spans="1:33">
      <c r="A221" s="20"/>
      <c r="B221" s="20"/>
      <c r="C221" s="44"/>
      <c r="D221" s="44"/>
      <c r="E221" s="20"/>
      <c r="F221" s="21"/>
      <c r="G221" s="21"/>
      <c r="H221" s="20"/>
      <c r="I221" s="20"/>
      <c r="J221" s="20"/>
      <c r="K221" s="21"/>
      <c r="L221" s="22"/>
      <c r="M221" s="22"/>
      <c r="N221" s="23" t="str">
        <f t="shared" ca="1" si="19"/>
        <v/>
      </c>
      <c r="O221" s="20"/>
      <c r="P221" s="20"/>
      <c r="Q221" s="24"/>
      <c r="R221" s="24"/>
      <c r="S221" s="23" t="str">
        <f t="shared" si="20"/>
        <v/>
      </c>
      <c r="T221" s="25" t="str">
        <f t="shared" si="21"/>
        <v/>
      </c>
      <c r="U221" s="26"/>
      <c r="V221" s="20"/>
      <c r="W221" s="27" t="str">
        <f t="shared" si="22"/>
        <v/>
      </c>
      <c r="X221" s="22"/>
      <c r="Y221" s="23" t="str">
        <f t="shared" ca="1" si="23"/>
        <v/>
      </c>
      <c r="Z221" s="20"/>
      <c r="AA221" s="28" t="str">
        <f>IF($F221="","",IF($M221="","Missing expiry",IF($N221&lt;0,"Expired",IF($N221&lt;=Settings!$B$2,"Urgent",IF($N221&lt;=Settings!$B$3,"Review","Active")))))</f>
        <v/>
      </c>
      <c r="AB221" s="28" t="str">
        <f>IF($F221="","",IF($X221="","",IF($Y221&lt;0,"Past EOL",IF($Y221&lt;=Settings!$B$4,"EOL soon","Supported"))))</f>
        <v/>
      </c>
      <c r="AC221" s="28" t="str">
        <f t="shared" si="24"/>
        <v/>
      </c>
      <c r="AD221" s="20"/>
      <c r="AE221" s="22"/>
      <c r="AF221" s="21"/>
      <c r="AG221" s="21"/>
    </row>
    <row r="222" spans="1:33">
      <c r="A222" s="20"/>
      <c r="B222" s="20"/>
      <c r="C222" s="44"/>
      <c r="D222" s="44"/>
      <c r="E222" s="20"/>
      <c r="F222" s="21"/>
      <c r="G222" s="21"/>
      <c r="H222" s="20"/>
      <c r="I222" s="20"/>
      <c r="J222" s="20"/>
      <c r="K222" s="21"/>
      <c r="L222" s="22"/>
      <c r="M222" s="22"/>
      <c r="N222" s="23" t="str">
        <f t="shared" ca="1" si="19"/>
        <v/>
      </c>
      <c r="O222" s="20"/>
      <c r="P222" s="20"/>
      <c r="Q222" s="24"/>
      <c r="R222" s="24"/>
      <c r="S222" s="23" t="str">
        <f t="shared" si="20"/>
        <v/>
      </c>
      <c r="T222" s="25" t="str">
        <f t="shared" si="21"/>
        <v/>
      </c>
      <c r="U222" s="26"/>
      <c r="V222" s="20"/>
      <c r="W222" s="27" t="str">
        <f t="shared" si="22"/>
        <v/>
      </c>
      <c r="X222" s="22"/>
      <c r="Y222" s="23" t="str">
        <f t="shared" ca="1" si="23"/>
        <v/>
      </c>
      <c r="Z222" s="20"/>
      <c r="AA222" s="28" t="str">
        <f>IF($F222="","",IF($M222="","Missing expiry",IF($N222&lt;0,"Expired",IF($N222&lt;=Settings!$B$2,"Urgent",IF($N222&lt;=Settings!$B$3,"Review","Active")))))</f>
        <v/>
      </c>
      <c r="AB222" s="28" t="str">
        <f>IF($F222="","",IF($X222="","",IF($Y222&lt;0,"Past EOL",IF($Y222&lt;=Settings!$B$4,"EOL soon","Supported"))))</f>
        <v/>
      </c>
      <c r="AC222" s="28" t="str">
        <f t="shared" si="24"/>
        <v/>
      </c>
      <c r="AD222" s="20"/>
      <c r="AE222" s="22"/>
      <c r="AF222" s="21"/>
      <c r="AG222" s="21"/>
    </row>
    <row r="223" spans="1:33">
      <c r="A223" s="20"/>
      <c r="B223" s="20"/>
      <c r="C223" s="44"/>
      <c r="D223" s="44"/>
      <c r="E223" s="20"/>
      <c r="F223" s="21"/>
      <c r="G223" s="21"/>
      <c r="H223" s="20"/>
      <c r="I223" s="20"/>
      <c r="J223" s="20"/>
      <c r="K223" s="21"/>
      <c r="L223" s="22"/>
      <c r="M223" s="22"/>
      <c r="N223" s="23" t="str">
        <f t="shared" ca="1" si="19"/>
        <v/>
      </c>
      <c r="O223" s="20"/>
      <c r="P223" s="20"/>
      <c r="Q223" s="24"/>
      <c r="R223" s="24"/>
      <c r="S223" s="23" t="str">
        <f t="shared" si="20"/>
        <v/>
      </c>
      <c r="T223" s="25" t="str">
        <f t="shared" si="21"/>
        <v/>
      </c>
      <c r="U223" s="26"/>
      <c r="V223" s="20"/>
      <c r="W223" s="27" t="str">
        <f t="shared" si="22"/>
        <v/>
      </c>
      <c r="X223" s="22"/>
      <c r="Y223" s="23" t="str">
        <f t="shared" ca="1" si="23"/>
        <v/>
      </c>
      <c r="Z223" s="20"/>
      <c r="AA223" s="28" t="str">
        <f>IF($F223="","",IF($M223="","Missing expiry",IF($N223&lt;0,"Expired",IF($N223&lt;=Settings!$B$2,"Urgent",IF($N223&lt;=Settings!$B$3,"Review","Active")))))</f>
        <v/>
      </c>
      <c r="AB223" s="28" t="str">
        <f>IF($F223="","",IF($X223="","",IF($Y223&lt;0,"Past EOL",IF($Y223&lt;=Settings!$B$4,"EOL soon","Supported"))))</f>
        <v/>
      </c>
      <c r="AC223" s="28" t="str">
        <f t="shared" si="24"/>
        <v/>
      </c>
      <c r="AD223" s="20"/>
      <c r="AE223" s="22"/>
      <c r="AF223" s="21"/>
      <c r="AG223" s="21"/>
    </row>
    <row r="224" spans="1:33">
      <c r="A224" s="20"/>
      <c r="B224" s="20"/>
      <c r="C224" s="44"/>
      <c r="D224" s="44"/>
      <c r="E224" s="20"/>
      <c r="F224" s="21"/>
      <c r="G224" s="21"/>
      <c r="H224" s="20"/>
      <c r="I224" s="20"/>
      <c r="J224" s="20"/>
      <c r="K224" s="21"/>
      <c r="L224" s="22"/>
      <c r="M224" s="22"/>
      <c r="N224" s="23" t="str">
        <f t="shared" ca="1" si="19"/>
        <v/>
      </c>
      <c r="O224" s="20"/>
      <c r="P224" s="20"/>
      <c r="Q224" s="24"/>
      <c r="R224" s="24"/>
      <c r="S224" s="23" t="str">
        <f t="shared" si="20"/>
        <v/>
      </c>
      <c r="T224" s="25" t="str">
        <f t="shared" si="21"/>
        <v/>
      </c>
      <c r="U224" s="26"/>
      <c r="V224" s="20"/>
      <c r="W224" s="27" t="str">
        <f t="shared" si="22"/>
        <v/>
      </c>
      <c r="X224" s="22"/>
      <c r="Y224" s="23" t="str">
        <f t="shared" ca="1" si="23"/>
        <v/>
      </c>
      <c r="Z224" s="20"/>
      <c r="AA224" s="28" t="str">
        <f>IF($F224="","",IF($M224="","Missing expiry",IF($N224&lt;0,"Expired",IF($N224&lt;=Settings!$B$2,"Urgent",IF($N224&lt;=Settings!$B$3,"Review","Active")))))</f>
        <v/>
      </c>
      <c r="AB224" s="28" t="str">
        <f>IF($F224="","",IF($X224="","",IF($Y224&lt;0,"Past EOL",IF($Y224&lt;=Settings!$B$4,"EOL soon","Supported"))))</f>
        <v/>
      </c>
      <c r="AC224" s="28" t="str">
        <f t="shared" si="24"/>
        <v/>
      </c>
      <c r="AD224" s="20"/>
      <c r="AE224" s="22"/>
      <c r="AF224" s="21"/>
      <c r="AG224" s="21"/>
    </row>
    <row r="225" spans="1:33">
      <c r="A225" s="20"/>
      <c r="B225" s="20"/>
      <c r="C225" s="44"/>
      <c r="D225" s="44"/>
      <c r="E225" s="20"/>
      <c r="F225" s="21"/>
      <c r="G225" s="21"/>
      <c r="H225" s="20"/>
      <c r="I225" s="20"/>
      <c r="J225" s="20"/>
      <c r="K225" s="21"/>
      <c r="L225" s="22"/>
      <c r="M225" s="22"/>
      <c r="N225" s="23" t="str">
        <f t="shared" ca="1" si="19"/>
        <v/>
      </c>
      <c r="O225" s="20"/>
      <c r="P225" s="20"/>
      <c r="Q225" s="24"/>
      <c r="R225" s="24"/>
      <c r="S225" s="23" t="str">
        <f t="shared" si="20"/>
        <v/>
      </c>
      <c r="T225" s="25" t="str">
        <f t="shared" si="21"/>
        <v/>
      </c>
      <c r="U225" s="26"/>
      <c r="V225" s="20"/>
      <c r="W225" s="27" t="str">
        <f t="shared" si="22"/>
        <v/>
      </c>
      <c r="X225" s="22"/>
      <c r="Y225" s="23" t="str">
        <f t="shared" ca="1" si="23"/>
        <v/>
      </c>
      <c r="Z225" s="20"/>
      <c r="AA225" s="28" t="str">
        <f>IF($F225="","",IF($M225="","Missing expiry",IF($N225&lt;0,"Expired",IF($N225&lt;=Settings!$B$2,"Urgent",IF($N225&lt;=Settings!$B$3,"Review","Active")))))</f>
        <v/>
      </c>
      <c r="AB225" s="28" t="str">
        <f>IF($F225="","",IF($X225="","",IF($Y225&lt;0,"Past EOL",IF($Y225&lt;=Settings!$B$4,"EOL soon","Supported"))))</f>
        <v/>
      </c>
      <c r="AC225" s="28" t="str">
        <f t="shared" si="24"/>
        <v/>
      </c>
      <c r="AD225" s="20"/>
      <c r="AE225" s="22"/>
      <c r="AF225" s="21"/>
      <c r="AG225" s="21"/>
    </row>
    <row r="226" spans="1:33">
      <c r="A226" s="20"/>
      <c r="B226" s="20"/>
      <c r="C226" s="44"/>
      <c r="D226" s="44"/>
      <c r="E226" s="20"/>
      <c r="F226" s="21"/>
      <c r="G226" s="21"/>
      <c r="H226" s="20"/>
      <c r="I226" s="20"/>
      <c r="J226" s="20"/>
      <c r="K226" s="21"/>
      <c r="L226" s="22"/>
      <c r="M226" s="22"/>
      <c r="N226" s="23" t="str">
        <f t="shared" ca="1" si="19"/>
        <v/>
      </c>
      <c r="O226" s="20"/>
      <c r="P226" s="20"/>
      <c r="Q226" s="24"/>
      <c r="R226" s="24"/>
      <c r="S226" s="23" t="str">
        <f t="shared" si="20"/>
        <v/>
      </c>
      <c r="T226" s="25" t="str">
        <f t="shared" si="21"/>
        <v/>
      </c>
      <c r="U226" s="26"/>
      <c r="V226" s="20"/>
      <c r="W226" s="27" t="str">
        <f t="shared" si="22"/>
        <v/>
      </c>
      <c r="X226" s="22"/>
      <c r="Y226" s="23" t="str">
        <f t="shared" ca="1" si="23"/>
        <v/>
      </c>
      <c r="Z226" s="20"/>
      <c r="AA226" s="28" t="str">
        <f>IF($F226="","",IF($M226="","Missing expiry",IF($N226&lt;0,"Expired",IF($N226&lt;=Settings!$B$2,"Urgent",IF($N226&lt;=Settings!$B$3,"Review","Active")))))</f>
        <v/>
      </c>
      <c r="AB226" s="28" t="str">
        <f>IF($F226="","",IF($X226="","",IF($Y226&lt;0,"Past EOL",IF($Y226&lt;=Settings!$B$4,"EOL soon","Supported"))))</f>
        <v/>
      </c>
      <c r="AC226" s="28" t="str">
        <f t="shared" si="24"/>
        <v/>
      </c>
      <c r="AD226" s="20"/>
      <c r="AE226" s="22"/>
      <c r="AF226" s="21"/>
      <c r="AG226" s="21"/>
    </row>
    <row r="227" spans="1:33">
      <c r="A227" s="20"/>
      <c r="B227" s="20"/>
      <c r="C227" s="44"/>
      <c r="D227" s="44"/>
      <c r="E227" s="20"/>
      <c r="F227" s="21"/>
      <c r="G227" s="21"/>
      <c r="H227" s="20"/>
      <c r="I227" s="20"/>
      <c r="J227" s="20"/>
      <c r="K227" s="21"/>
      <c r="L227" s="22"/>
      <c r="M227" s="22"/>
      <c r="N227" s="23" t="str">
        <f t="shared" ca="1" si="19"/>
        <v/>
      </c>
      <c r="O227" s="20"/>
      <c r="P227" s="20"/>
      <c r="Q227" s="24"/>
      <c r="R227" s="24"/>
      <c r="S227" s="23" t="str">
        <f t="shared" si="20"/>
        <v/>
      </c>
      <c r="T227" s="25" t="str">
        <f t="shared" si="21"/>
        <v/>
      </c>
      <c r="U227" s="26"/>
      <c r="V227" s="20"/>
      <c r="W227" s="27" t="str">
        <f t="shared" si="22"/>
        <v/>
      </c>
      <c r="X227" s="22"/>
      <c r="Y227" s="23" t="str">
        <f t="shared" ca="1" si="23"/>
        <v/>
      </c>
      <c r="Z227" s="20"/>
      <c r="AA227" s="28" t="str">
        <f>IF($F227="","",IF($M227="","Missing expiry",IF($N227&lt;0,"Expired",IF($N227&lt;=Settings!$B$2,"Urgent",IF($N227&lt;=Settings!$B$3,"Review","Active")))))</f>
        <v/>
      </c>
      <c r="AB227" s="28" t="str">
        <f>IF($F227="","",IF($X227="","",IF($Y227&lt;0,"Past EOL",IF($Y227&lt;=Settings!$B$4,"EOL soon","Supported"))))</f>
        <v/>
      </c>
      <c r="AC227" s="28" t="str">
        <f t="shared" si="24"/>
        <v/>
      </c>
      <c r="AD227" s="20"/>
      <c r="AE227" s="22"/>
      <c r="AF227" s="21"/>
      <c r="AG227" s="21"/>
    </row>
    <row r="228" spans="1:33">
      <c r="A228" s="20"/>
      <c r="B228" s="20"/>
      <c r="C228" s="44"/>
      <c r="D228" s="44"/>
      <c r="E228" s="20"/>
      <c r="F228" s="21"/>
      <c r="G228" s="21"/>
      <c r="H228" s="20"/>
      <c r="I228" s="20"/>
      <c r="J228" s="20"/>
      <c r="K228" s="21"/>
      <c r="L228" s="22"/>
      <c r="M228" s="22"/>
      <c r="N228" s="23" t="str">
        <f t="shared" ca="1" si="19"/>
        <v/>
      </c>
      <c r="O228" s="20"/>
      <c r="P228" s="20"/>
      <c r="Q228" s="24"/>
      <c r="R228" s="24"/>
      <c r="S228" s="23" t="str">
        <f t="shared" si="20"/>
        <v/>
      </c>
      <c r="T228" s="25" t="str">
        <f t="shared" si="21"/>
        <v/>
      </c>
      <c r="U228" s="26"/>
      <c r="V228" s="20"/>
      <c r="W228" s="27" t="str">
        <f t="shared" si="22"/>
        <v/>
      </c>
      <c r="X228" s="22"/>
      <c r="Y228" s="23" t="str">
        <f t="shared" ca="1" si="23"/>
        <v/>
      </c>
      <c r="Z228" s="20"/>
      <c r="AA228" s="28" t="str">
        <f>IF($F228="","",IF($M228="","Missing expiry",IF($N228&lt;0,"Expired",IF($N228&lt;=Settings!$B$2,"Urgent",IF($N228&lt;=Settings!$B$3,"Review","Active")))))</f>
        <v/>
      </c>
      <c r="AB228" s="28" t="str">
        <f>IF($F228="","",IF($X228="","",IF($Y228&lt;0,"Past EOL",IF($Y228&lt;=Settings!$B$4,"EOL soon","Supported"))))</f>
        <v/>
      </c>
      <c r="AC228" s="28" t="str">
        <f t="shared" si="24"/>
        <v/>
      </c>
      <c r="AD228" s="20"/>
      <c r="AE228" s="22"/>
      <c r="AF228" s="21"/>
      <c r="AG228" s="21"/>
    </row>
    <row r="229" spans="1:33">
      <c r="A229" s="20"/>
      <c r="B229" s="20"/>
      <c r="C229" s="44"/>
      <c r="D229" s="44"/>
      <c r="E229" s="20"/>
      <c r="F229" s="21"/>
      <c r="G229" s="21"/>
      <c r="H229" s="20"/>
      <c r="I229" s="20"/>
      <c r="J229" s="20"/>
      <c r="K229" s="21"/>
      <c r="L229" s="22"/>
      <c r="M229" s="22"/>
      <c r="N229" s="23" t="str">
        <f t="shared" ca="1" si="19"/>
        <v/>
      </c>
      <c r="O229" s="20"/>
      <c r="P229" s="20"/>
      <c r="Q229" s="24"/>
      <c r="R229" s="24"/>
      <c r="S229" s="23" t="str">
        <f t="shared" si="20"/>
        <v/>
      </c>
      <c r="T229" s="25" t="str">
        <f t="shared" si="21"/>
        <v/>
      </c>
      <c r="U229" s="26"/>
      <c r="V229" s="20"/>
      <c r="W229" s="27" t="str">
        <f t="shared" si="22"/>
        <v/>
      </c>
      <c r="X229" s="22"/>
      <c r="Y229" s="23" t="str">
        <f t="shared" ca="1" si="23"/>
        <v/>
      </c>
      <c r="Z229" s="20"/>
      <c r="AA229" s="28" t="str">
        <f>IF($F229="","",IF($M229="","Missing expiry",IF($N229&lt;0,"Expired",IF($N229&lt;=Settings!$B$2,"Urgent",IF($N229&lt;=Settings!$B$3,"Review","Active")))))</f>
        <v/>
      </c>
      <c r="AB229" s="28" t="str">
        <f>IF($F229="","",IF($X229="","",IF($Y229&lt;0,"Past EOL",IF($Y229&lt;=Settings!$B$4,"EOL soon","Supported"))))</f>
        <v/>
      </c>
      <c r="AC229" s="28" t="str">
        <f t="shared" si="24"/>
        <v/>
      </c>
      <c r="AD229" s="20"/>
      <c r="AE229" s="22"/>
      <c r="AF229" s="21"/>
      <c r="AG229" s="21"/>
    </row>
    <row r="230" spans="1:33">
      <c r="A230" s="20"/>
      <c r="B230" s="20"/>
      <c r="C230" s="44"/>
      <c r="D230" s="44"/>
      <c r="E230" s="20"/>
      <c r="F230" s="21"/>
      <c r="G230" s="21"/>
      <c r="H230" s="20"/>
      <c r="I230" s="20"/>
      <c r="J230" s="20"/>
      <c r="K230" s="21"/>
      <c r="L230" s="22"/>
      <c r="M230" s="22"/>
      <c r="N230" s="23" t="str">
        <f t="shared" ca="1" si="19"/>
        <v/>
      </c>
      <c r="O230" s="20"/>
      <c r="P230" s="20"/>
      <c r="Q230" s="24"/>
      <c r="R230" s="24"/>
      <c r="S230" s="23" t="str">
        <f t="shared" si="20"/>
        <v/>
      </c>
      <c r="T230" s="25" t="str">
        <f t="shared" si="21"/>
        <v/>
      </c>
      <c r="U230" s="26"/>
      <c r="V230" s="20"/>
      <c r="W230" s="27" t="str">
        <f t="shared" si="22"/>
        <v/>
      </c>
      <c r="X230" s="22"/>
      <c r="Y230" s="23" t="str">
        <f t="shared" ca="1" si="23"/>
        <v/>
      </c>
      <c r="Z230" s="20"/>
      <c r="AA230" s="28" t="str">
        <f>IF($F230="","",IF($M230="","Missing expiry",IF($N230&lt;0,"Expired",IF($N230&lt;=Settings!$B$2,"Urgent",IF($N230&lt;=Settings!$B$3,"Review","Active")))))</f>
        <v/>
      </c>
      <c r="AB230" s="28" t="str">
        <f>IF($F230="","",IF($X230="","",IF($Y230&lt;0,"Past EOL",IF($Y230&lt;=Settings!$B$4,"EOL soon","Supported"))))</f>
        <v/>
      </c>
      <c r="AC230" s="28" t="str">
        <f t="shared" si="24"/>
        <v/>
      </c>
      <c r="AD230" s="20"/>
      <c r="AE230" s="22"/>
      <c r="AF230" s="21"/>
      <c r="AG230" s="21"/>
    </row>
    <row r="231" spans="1:33">
      <c r="A231" s="20"/>
      <c r="B231" s="20"/>
      <c r="C231" s="44"/>
      <c r="D231" s="44"/>
      <c r="E231" s="20"/>
      <c r="F231" s="21"/>
      <c r="G231" s="21"/>
      <c r="H231" s="20"/>
      <c r="I231" s="20"/>
      <c r="J231" s="20"/>
      <c r="K231" s="21"/>
      <c r="L231" s="22"/>
      <c r="M231" s="22"/>
      <c r="N231" s="23" t="str">
        <f t="shared" ca="1" si="19"/>
        <v/>
      </c>
      <c r="O231" s="20"/>
      <c r="P231" s="20"/>
      <c r="Q231" s="24"/>
      <c r="R231" s="24"/>
      <c r="S231" s="23" t="str">
        <f t="shared" si="20"/>
        <v/>
      </c>
      <c r="T231" s="25" t="str">
        <f t="shared" si="21"/>
        <v/>
      </c>
      <c r="U231" s="26"/>
      <c r="V231" s="20"/>
      <c r="W231" s="27" t="str">
        <f t="shared" si="22"/>
        <v/>
      </c>
      <c r="X231" s="22"/>
      <c r="Y231" s="23" t="str">
        <f t="shared" ca="1" si="23"/>
        <v/>
      </c>
      <c r="Z231" s="20"/>
      <c r="AA231" s="28" t="str">
        <f>IF($F231="","",IF($M231="","Missing expiry",IF($N231&lt;0,"Expired",IF($N231&lt;=Settings!$B$2,"Urgent",IF($N231&lt;=Settings!$B$3,"Review","Active")))))</f>
        <v/>
      </c>
      <c r="AB231" s="28" t="str">
        <f>IF($F231="","",IF($X231="","",IF($Y231&lt;0,"Past EOL",IF($Y231&lt;=Settings!$B$4,"EOL soon","Supported"))))</f>
        <v/>
      </c>
      <c r="AC231" s="28" t="str">
        <f t="shared" si="24"/>
        <v/>
      </c>
      <c r="AD231" s="20"/>
      <c r="AE231" s="22"/>
      <c r="AF231" s="21"/>
      <c r="AG231" s="21"/>
    </row>
    <row r="232" spans="1:33">
      <c r="A232" s="20"/>
      <c r="B232" s="20"/>
      <c r="C232" s="44"/>
      <c r="D232" s="44"/>
      <c r="E232" s="20"/>
      <c r="F232" s="21"/>
      <c r="G232" s="21"/>
      <c r="H232" s="20"/>
      <c r="I232" s="20"/>
      <c r="J232" s="20"/>
      <c r="K232" s="21"/>
      <c r="L232" s="22"/>
      <c r="M232" s="22"/>
      <c r="N232" s="23" t="str">
        <f t="shared" ca="1" si="19"/>
        <v/>
      </c>
      <c r="O232" s="20"/>
      <c r="P232" s="20"/>
      <c r="Q232" s="24"/>
      <c r="R232" s="24"/>
      <c r="S232" s="23" t="str">
        <f t="shared" si="20"/>
        <v/>
      </c>
      <c r="T232" s="25" t="str">
        <f t="shared" si="21"/>
        <v/>
      </c>
      <c r="U232" s="26"/>
      <c r="V232" s="20"/>
      <c r="W232" s="27" t="str">
        <f t="shared" si="22"/>
        <v/>
      </c>
      <c r="X232" s="22"/>
      <c r="Y232" s="23" t="str">
        <f t="shared" ca="1" si="23"/>
        <v/>
      </c>
      <c r="Z232" s="20"/>
      <c r="AA232" s="28" t="str">
        <f>IF($F232="","",IF($M232="","Missing expiry",IF($N232&lt;0,"Expired",IF($N232&lt;=Settings!$B$2,"Urgent",IF($N232&lt;=Settings!$B$3,"Review","Active")))))</f>
        <v/>
      </c>
      <c r="AB232" s="28" t="str">
        <f>IF($F232="","",IF($X232="","",IF($Y232&lt;0,"Past EOL",IF($Y232&lt;=Settings!$B$4,"EOL soon","Supported"))))</f>
        <v/>
      </c>
      <c r="AC232" s="28" t="str">
        <f t="shared" si="24"/>
        <v/>
      </c>
      <c r="AD232" s="20"/>
      <c r="AE232" s="22"/>
      <c r="AF232" s="21"/>
      <c r="AG232" s="21"/>
    </row>
    <row r="233" spans="1:33">
      <c r="A233" s="20"/>
      <c r="B233" s="20"/>
      <c r="C233" s="44"/>
      <c r="D233" s="44"/>
      <c r="E233" s="20"/>
      <c r="F233" s="21"/>
      <c r="G233" s="21"/>
      <c r="H233" s="20"/>
      <c r="I233" s="20"/>
      <c r="J233" s="20"/>
      <c r="K233" s="21"/>
      <c r="L233" s="22"/>
      <c r="M233" s="22"/>
      <c r="N233" s="23" t="str">
        <f t="shared" ca="1" si="19"/>
        <v/>
      </c>
      <c r="O233" s="20"/>
      <c r="P233" s="20"/>
      <c r="Q233" s="24"/>
      <c r="R233" s="24"/>
      <c r="S233" s="23" t="str">
        <f t="shared" si="20"/>
        <v/>
      </c>
      <c r="T233" s="25" t="str">
        <f t="shared" si="21"/>
        <v/>
      </c>
      <c r="U233" s="26"/>
      <c r="V233" s="20"/>
      <c r="W233" s="27" t="str">
        <f t="shared" si="22"/>
        <v/>
      </c>
      <c r="X233" s="22"/>
      <c r="Y233" s="23" t="str">
        <f t="shared" ca="1" si="23"/>
        <v/>
      </c>
      <c r="Z233" s="20"/>
      <c r="AA233" s="28" t="str">
        <f>IF($F233="","",IF($M233="","Missing expiry",IF($N233&lt;0,"Expired",IF($N233&lt;=Settings!$B$2,"Urgent",IF($N233&lt;=Settings!$B$3,"Review","Active")))))</f>
        <v/>
      </c>
      <c r="AB233" s="28" t="str">
        <f>IF($F233="","",IF($X233="","",IF($Y233&lt;0,"Past EOL",IF($Y233&lt;=Settings!$B$4,"EOL soon","Supported"))))</f>
        <v/>
      </c>
      <c r="AC233" s="28" t="str">
        <f t="shared" si="24"/>
        <v/>
      </c>
      <c r="AD233" s="20"/>
      <c r="AE233" s="22"/>
      <c r="AF233" s="21"/>
      <c r="AG233" s="21"/>
    </row>
    <row r="234" spans="1:33">
      <c r="A234" s="20"/>
      <c r="B234" s="20"/>
      <c r="C234" s="44"/>
      <c r="D234" s="44"/>
      <c r="E234" s="20"/>
      <c r="F234" s="21"/>
      <c r="G234" s="21"/>
      <c r="H234" s="20"/>
      <c r="I234" s="20"/>
      <c r="J234" s="20"/>
      <c r="K234" s="21"/>
      <c r="L234" s="22"/>
      <c r="M234" s="22"/>
      <c r="N234" s="23" t="str">
        <f t="shared" ca="1" si="19"/>
        <v/>
      </c>
      <c r="O234" s="20"/>
      <c r="P234" s="20"/>
      <c r="Q234" s="24"/>
      <c r="R234" s="24"/>
      <c r="S234" s="23" t="str">
        <f t="shared" si="20"/>
        <v/>
      </c>
      <c r="T234" s="25" t="str">
        <f t="shared" si="21"/>
        <v/>
      </c>
      <c r="U234" s="26"/>
      <c r="V234" s="20"/>
      <c r="W234" s="27" t="str">
        <f t="shared" si="22"/>
        <v/>
      </c>
      <c r="X234" s="22"/>
      <c r="Y234" s="23" t="str">
        <f t="shared" ca="1" si="23"/>
        <v/>
      </c>
      <c r="Z234" s="20"/>
      <c r="AA234" s="28" t="str">
        <f>IF($F234="","",IF($M234="","Missing expiry",IF($N234&lt;0,"Expired",IF($N234&lt;=Settings!$B$2,"Urgent",IF($N234&lt;=Settings!$B$3,"Review","Active")))))</f>
        <v/>
      </c>
      <c r="AB234" s="28" t="str">
        <f>IF($F234="","",IF($X234="","",IF($Y234&lt;0,"Past EOL",IF($Y234&lt;=Settings!$B$4,"EOL soon","Supported"))))</f>
        <v/>
      </c>
      <c r="AC234" s="28" t="str">
        <f t="shared" si="24"/>
        <v/>
      </c>
      <c r="AD234" s="20"/>
      <c r="AE234" s="22"/>
      <c r="AF234" s="21"/>
      <c r="AG234" s="21"/>
    </row>
    <row r="235" spans="1:33">
      <c r="A235" s="20"/>
      <c r="B235" s="20"/>
      <c r="C235" s="44"/>
      <c r="D235" s="44"/>
      <c r="E235" s="20"/>
      <c r="F235" s="21"/>
      <c r="G235" s="21"/>
      <c r="H235" s="20"/>
      <c r="I235" s="20"/>
      <c r="J235" s="20"/>
      <c r="K235" s="21"/>
      <c r="L235" s="22"/>
      <c r="M235" s="22"/>
      <c r="N235" s="23" t="str">
        <f t="shared" ca="1" si="19"/>
        <v/>
      </c>
      <c r="O235" s="20"/>
      <c r="P235" s="20"/>
      <c r="Q235" s="24"/>
      <c r="R235" s="24"/>
      <c r="S235" s="23" t="str">
        <f t="shared" si="20"/>
        <v/>
      </c>
      <c r="T235" s="25" t="str">
        <f t="shared" si="21"/>
        <v/>
      </c>
      <c r="U235" s="26"/>
      <c r="V235" s="20"/>
      <c r="W235" s="27" t="str">
        <f t="shared" si="22"/>
        <v/>
      </c>
      <c r="X235" s="22"/>
      <c r="Y235" s="23" t="str">
        <f t="shared" ca="1" si="23"/>
        <v/>
      </c>
      <c r="Z235" s="20"/>
      <c r="AA235" s="28" t="str">
        <f>IF($F235="","",IF($M235="","Missing expiry",IF($N235&lt;0,"Expired",IF($N235&lt;=Settings!$B$2,"Urgent",IF($N235&lt;=Settings!$B$3,"Review","Active")))))</f>
        <v/>
      </c>
      <c r="AB235" s="28" t="str">
        <f>IF($F235="","",IF($X235="","",IF($Y235&lt;0,"Past EOL",IF($Y235&lt;=Settings!$B$4,"EOL soon","Supported"))))</f>
        <v/>
      </c>
      <c r="AC235" s="28" t="str">
        <f t="shared" si="24"/>
        <v/>
      </c>
      <c r="AD235" s="20"/>
      <c r="AE235" s="22"/>
      <c r="AF235" s="21"/>
      <c r="AG235" s="21"/>
    </row>
    <row r="236" spans="1:33">
      <c r="A236" s="20"/>
      <c r="B236" s="20"/>
      <c r="C236" s="44"/>
      <c r="D236" s="44"/>
      <c r="E236" s="20"/>
      <c r="F236" s="21"/>
      <c r="G236" s="21"/>
      <c r="H236" s="20"/>
      <c r="I236" s="20"/>
      <c r="J236" s="20"/>
      <c r="K236" s="21"/>
      <c r="L236" s="22"/>
      <c r="M236" s="22"/>
      <c r="N236" s="23" t="str">
        <f t="shared" ca="1" si="19"/>
        <v/>
      </c>
      <c r="O236" s="20"/>
      <c r="P236" s="20"/>
      <c r="Q236" s="24"/>
      <c r="R236" s="24"/>
      <c r="S236" s="23" t="str">
        <f t="shared" si="20"/>
        <v/>
      </c>
      <c r="T236" s="25" t="str">
        <f t="shared" si="21"/>
        <v/>
      </c>
      <c r="U236" s="26"/>
      <c r="V236" s="20"/>
      <c r="W236" s="27" t="str">
        <f t="shared" si="22"/>
        <v/>
      </c>
      <c r="X236" s="22"/>
      <c r="Y236" s="23" t="str">
        <f t="shared" ca="1" si="23"/>
        <v/>
      </c>
      <c r="Z236" s="20"/>
      <c r="AA236" s="28" t="str">
        <f>IF($F236="","",IF($M236="","Missing expiry",IF($N236&lt;0,"Expired",IF($N236&lt;=Settings!$B$2,"Urgent",IF($N236&lt;=Settings!$B$3,"Review","Active")))))</f>
        <v/>
      </c>
      <c r="AB236" s="28" t="str">
        <f>IF($F236="","",IF($X236="","",IF($Y236&lt;0,"Past EOL",IF($Y236&lt;=Settings!$B$4,"EOL soon","Supported"))))</f>
        <v/>
      </c>
      <c r="AC236" s="28" t="str">
        <f t="shared" si="24"/>
        <v/>
      </c>
      <c r="AD236" s="20"/>
      <c r="AE236" s="22"/>
      <c r="AF236" s="21"/>
      <c r="AG236" s="21"/>
    </row>
    <row r="237" spans="1:33">
      <c r="A237" s="20"/>
      <c r="B237" s="20"/>
      <c r="C237" s="44"/>
      <c r="D237" s="44"/>
      <c r="E237" s="20"/>
      <c r="F237" s="21"/>
      <c r="G237" s="21"/>
      <c r="H237" s="20"/>
      <c r="I237" s="20"/>
      <c r="J237" s="20"/>
      <c r="K237" s="21"/>
      <c r="L237" s="22"/>
      <c r="M237" s="22"/>
      <c r="N237" s="23" t="str">
        <f t="shared" ca="1" si="19"/>
        <v/>
      </c>
      <c r="O237" s="20"/>
      <c r="P237" s="20"/>
      <c r="Q237" s="24"/>
      <c r="R237" s="24"/>
      <c r="S237" s="23" t="str">
        <f t="shared" si="20"/>
        <v/>
      </c>
      <c r="T237" s="25" t="str">
        <f t="shared" si="21"/>
        <v/>
      </c>
      <c r="U237" s="26"/>
      <c r="V237" s="20"/>
      <c r="W237" s="27" t="str">
        <f t="shared" si="22"/>
        <v/>
      </c>
      <c r="X237" s="22"/>
      <c r="Y237" s="23" t="str">
        <f t="shared" ca="1" si="23"/>
        <v/>
      </c>
      <c r="Z237" s="20"/>
      <c r="AA237" s="28" t="str">
        <f>IF($F237="","",IF($M237="","Missing expiry",IF($N237&lt;0,"Expired",IF($N237&lt;=Settings!$B$2,"Urgent",IF($N237&lt;=Settings!$B$3,"Review","Active")))))</f>
        <v/>
      </c>
      <c r="AB237" s="28" t="str">
        <f>IF($F237="","",IF($X237="","",IF($Y237&lt;0,"Past EOL",IF($Y237&lt;=Settings!$B$4,"EOL soon","Supported"))))</f>
        <v/>
      </c>
      <c r="AC237" s="28" t="str">
        <f t="shared" si="24"/>
        <v/>
      </c>
      <c r="AD237" s="20"/>
      <c r="AE237" s="22"/>
      <c r="AF237" s="21"/>
      <c r="AG237" s="21"/>
    </row>
    <row r="238" spans="1:33">
      <c r="A238" s="20"/>
      <c r="B238" s="20"/>
      <c r="C238" s="44"/>
      <c r="D238" s="44"/>
      <c r="E238" s="20"/>
      <c r="F238" s="21"/>
      <c r="G238" s="21"/>
      <c r="H238" s="20"/>
      <c r="I238" s="20"/>
      <c r="J238" s="20"/>
      <c r="K238" s="21"/>
      <c r="L238" s="22"/>
      <c r="M238" s="22"/>
      <c r="N238" s="23" t="str">
        <f t="shared" ca="1" si="19"/>
        <v/>
      </c>
      <c r="O238" s="20"/>
      <c r="P238" s="20"/>
      <c r="Q238" s="24"/>
      <c r="R238" s="24"/>
      <c r="S238" s="23" t="str">
        <f t="shared" si="20"/>
        <v/>
      </c>
      <c r="T238" s="25" t="str">
        <f t="shared" si="21"/>
        <v/>
      </c>
      <c r="U238" s="26"/>
      <c r="V238" s="20"/>
      <c r="W238" s="27" t="str">
        <f t="shared" si="22"/>
        <v/>
      </c>
      <c r="X238" s="22"/>
      <c r="Y238" s="23" t="str">
        <f t="shared" ca="1" si="23"/>
        <v/>
      </c>
      <c r="Z238" s="20"/>
      <c r="AA238" s="28" t="str">
        <f>IF($F238="","",IF($M238="","Missing expiry",IF($N238&lt;0,"Expired",IF($N238&lt;=Settings!$B$2,"Urgent",IF($N238&lt;=Settings!$B$3,"Review","Active")))))</f>
        <v/>
      </c>
      <c r="AB238" s="28" t="str">
        <f>IF($F238="","",IF($X238="","",IF($Y238&lt;0,"Past EOL",IF($Y238&lt;=Settings!$B$4,"EOL soon","Supported"))))</f>
        <v/>
      </c>
      <c r="AC238" s="28" t="str">
        <f t="shared" si="24"/>
        <v/>
      </c>
      <c r="AD238" s="20"/>
      <c r="AE238" s="22"/>
      <c r="AF238" s="21"/>
      <c r="AG238" s="21"/>
    </row>
    <row r="239" spans="1:33">
      <c r="A239" s="20"/>
      <c r="B239" s="20"/>
      <c r="C239" s="44"/>
      <c r="D239" s="44"/>
      <c r="E239" s="20"/>
      <c r="F239" s="21"/>
      <c r="G239" s="21"/>
      <c r="H239" s="20"/>
      <c r="I239" s="20"/>
      <c r="J239" s="20"/>
      <c r="K239" s="21"/>
      <c r="L239" s="22"/>
      <c r="M239" s="22"/>
      <c r="N239" s="23" t="str">
        <f t="shared" ca="1" si="19"/>
        <v/>
      </c>
      <c r="O239" s="20"/>
      <c r="P239" s="20"/>
      <c r="Q239" s="24"/>
      <c r="R239" s="24"/>
      <c r="S239" s="23" t="str">
        <f t="shared" si="20"/>
        <v/>
      </c>
      <c r="T239" s="25" t="str">
        <f t="shared" si="21"/>
        <v/>
      </c>
      <c r="U239" s="26"/>
      <c r="V239" s="20"/>
      <c r="W239" s="27" t="str">
        <f t="shared" si="22"/>
        <v/>
      </c>
      <c r="X239" s="22"/>
      <c r="Y239" s="23" t="str">
        <f t="shared" ca="1" si="23"/>
        <v/>
      </c>
      <c r="Z239" s="20"/>
      <c r="AA239" s="28" t="str">
        <f>IF($F239="","",IF($M239="","Missing expiry",IF($N239&lt;0,"Expired",IF($N239&lt;=Settings!$B$2,"Urgent",IF($N239&lt;=Settings!$B$3,"Review","Active")))))</f>
        <v/>
      </c>
      <c r="AB239" s="28" t="str">
        <f>IF($F239="","",IF($X239="","",IF($Y239&lt;0,"Past EOL",IF($Y239&lt;=Settings!$B$4,"EOL soon","Supported"))))</f>
        <v/>
      </c>
      <c r="AC239" s="28" t="str">
        <f t="shared" si="24"/>
        <v/>
      </c>
      <c r="AD239" s="20"/>
      <c r="AE239" s="22"/>
      <c r="AF239" s="21"/>
      <c r="AG239" s="21"/>
    </row>
    <row r="240" spans="1:33">
      <c r="A240" s="20"/>
      <c r="B240" s="20"/>
      <c r="C240" s="44"/>
      <c r="D240" s="44"/>
      <c r="E240" s="20"/>
      <c r="F240" s="21"/>
      <c r="G240" s="21"/>
      <c r="H240" s="20"/>
      <c r="I240" s="20"/>
      <c r="J240" s="20"/>
      <c r="K240" s="21"/>
      <c r="L240" s="22"/>
      <c r="M240" s="22"/>
      <c r="N240" s="23" t="str">
        <f t="shared" ca="1" si="19"/>
        <v/>
      </c>
      <c r="O240" s="20"/>
      <c r="P240" s="20"/>
      <c r="Q240" s="24"/>
      <c r="R240" s="24"/>
      <c r="S240" s="23" t="str">
        <f t="shared" si="20"/>
        <v/>
      </c>
      <c r="T240" s="25" t="str">
        <f t="shared" si="21"/>
        <v/>
      </c>
      <c r="U240" s="26"/>
      <c r="V240" s="20"/>
      <c r="W240" s="27" t="str">
        <f t="shared" si="22"/>
        <v/>
      </c>
      <c r="X240" s="22"/>
      <c r="Y240" s="23" t="str">
        <f t="shared" ca="1" si="23"/>
        <v/>
      </c>
      <c r="Z240" s="20"/>
      <c r="AA240" s="28" t="str">
        <f>IF($F240="","",IF($M240="","Missing expiry",IF($N240&lt;0,"Expired",IF($N240&lt;=Settings!$B$2,"Urgent",IF($N240&lt;=Settings!$B$3,"Review","Active")))))</f>
        <v/>
      </c>
      <c r="AB240" s="28" t="str">
        <f>IF($F240="","",IF($X240="","",IF($Y240&lt;0,"Past EOL",IF($Y240&lt;=Settings!$B$4,"EOL soon","Supported"))))</f>
        <v/>
      </c>
      <c r="AC240" s="28" t="str">
        <f t="shared" si="24"/>
        <v/>
      </c>
      <c r="AD240" s="20"/>
      <c r="AE240" s="22"/>
      <c r="AF240" s="21"/>
      <c r="AG240" s="21"/>
    </row>
    <row r="241" spans="1:33">
      <c r="A241" s="20"/>
      <c r="B241" s="20"/>
      <c r="C241" s="44"/>
      <c r="D241" s="44"/>
      <c r="E241" s="20"/>
      <c r="F241" s="21"/>
      <c r="G241" s="21"/>
      <c r="H241" s="20"/>
      <c r="I241" s="20"/>
      <c r="J241" s="20"/>
      <c r="K241" s="21"/>
      <c r="L241" s="22"/>
      <c r="M241" s="22"/>
      <c r="N241" s="23" t="str">
        <f t="shared" ca="1" si="19"/>
        <v/>
      </c>
      <c r="O241" s="20"/>
      <c r="P241" s="20"/>
      <c r="Q241" s="24"/>
      <c r="R241" s="24"/>
      <c r="S241" s="23" t="str">
        <f t="shared" si="20"/>
        <v/>
      </c>
      <c r="T241" s="25" t="str">
        <f t="shared" si="21"/>
        <v/>
      </c>
      <c r="U241" s="26"/>
      <c r="V241" s="20"/>
      <c r="W241" s="27" t="str">
        <f t="shared" si="22"/>
        <v/>
      </c>
      <c r="X241" s="22"/>
      <c r="Y241" s="23" t="str">
        <f t="shared" ca="1" si="23"/>
        <v/>
      </c>
      <c r="Z241" s="20"/>
      <c r="AA241" s="28" t="str">
        <f>IF($F241="","",IF($M241="","Missing expiry",IF($N241&lt;0,"Expired",IF($N241&lt;=Settings!$B$2,"Urgent",IF($N241&lt;=Settings!$B$3,"Review","Active")))))</f>
        <v/>
      </c>
      <c r="AB241" s="28" t="str">
        <f>IF($F241="","",IF($X241="","",IF($Y241&lt;0,"Past EOL",IF($Y241&lt;=Settings!$B$4,"EOL soon","Supported"))))</f>
        <v/>
      </c>
      <c r="AC241" s="28" t="str">
        <f t="shared" si="24"/>
        <v/>
      </c>
      <c r="AD241" s="20"/>
      <c r="AE241" s="22"/>
      <c r="AF241" s="21"/>
      <c r="AG241" s="21"/>
    </row>
    <row r="242" spans="1:33">
      <c r="A242" s="20"/>
      <c r="B242" s="20"/>
      <c r="C242" s="44"/>
      <c r="D242" s="44"/>
      <c r="E242" s="20"/>
      <c r="F242" s="21"/>
      <c r="G242" s="21"/>
      <c r="H242" s="20"/>
      <c r="I242" s="20"/>
      <c r="J242" s="20"/>
      <c r="K242" s="21"/>
      <c r="L242" s="22"/>
      <c r="M242" s="22"/>
      <c r="N242" s="23" t="str">
        <f t="shared" ca="1" si="19"/>
        <v/>
      </c>
      <c r="O242" s="20"/>
      <c r="P242" s="20"/>
      <c r="Q242" s="24"/>
      <c r="R242" s="24"/>
      <c r="S242" s="23" t="str">
        <f t="shared" si="20"/>
        <v/>
      </c>
      <c r="T242" s="25" t="str">
        <f t="shared" si="21"/>
        <v/>
      </c>
      <c r="U242" s="26"/>
      <c r="V242" s="20"/>
      <c r="W242" s="27" t="str">
        <f t="shared" si="22"/>
        <v/>
      </c>
      <c r="X242" s="22"/>
      <c r="Y242" s="23" t="str">
        <f t="shared" ca="1" si="23"/>
        <v/>
      </c>
      <c r="Z242" s="20"/>
      <c r="AA242" s="28" t="str">
        <f>IF($F242="","",IF($M242="","Missing expiry",IF($N242&lt;0,"Expired",IF($N242&lt;=Settings!$B$2,"Urgent",IF($N242&lt;=Settings!$B$3,"Review","Active")))))</f>
        <v/>
      </c>
      <c r="AB242" s="28" t="str">
        <f>IF($F242="","",IF($X242="","",IF($Y242&lt;0,"Past EOL",IF($Y242&lt;=Settings!$B$4,"EOL soon","Supported"))))</f>
        <v/>
      </c>
      <c r="AC242" s="28" t="str">
        <f t="shared" si="24"/>
        <v/>
      </c>
      <c r="AD242" s="20"/>
      <c r="AE242" s="22"/>
      <c r="AF242" s="21"/>
      <c r="AG242" s="21"/>
    </row>
    <row r="243" spans="1:33">
      <c r="A243" s="20"/>
      <c r="B243" s="20"/>
      <c r="C243" s="44"/>
      <c r="D243" s="44"/>
      <c r="E243" s="20"/>
      <c r="F243" s="21"/>
      <c r="G243" s="21"/>
      <c r="H243" s="20"/>
      <c r="I243" s="20"/>
      <c r="J243" s="20"/>
      <c r="K243" s="21"/>
      <c r="L243" s="22"/>
      <c r="M243" s="22"/>
      <c r="N243" s="23" t="str">
        <f t="shared" ca="1" si="19"/>
        <v/>
      </c>
      <c r="O243" s="20"/>
      <c r="P243" s="20"/>
      <c r="Q243" s="24"/>
      <c r="R243" s="24"/>
      <c r="S243" s="23" t="str">
        <f t="shared" si="20"/>
        <v/>
      </c>
      <c r="T243" s="25" t="str">
        <f t="shared" si="21"/>
        <v/>
      </c>
      <c r="U243" s="26"/>
      <c r="V243" s="20"/>
      <c r="W243" s="27" t="str">
        <f t="shared" si="22"/>
        <v/>
      </c>
      <c r="X243" s="22"/>
      <c r="Y243" s="23" t="str">
        <f t="shared" ca="1" si="23"/>
        <v/>
      </c>
      <c r="Z243" s="20"/>
      <c r="AA243" s="28" t="str">
        <f>IF($F243="","",IF($M243="","Missing expiry",IF($N243&lt;0,"Expired",IF($N243&lt;=Settings!$B$2,"Urgent",IF($N243&lt;=Settings!$B$3,"Review","Active")))))</f>
        <v/>
      </c>
      <c r="AB243" s="28" t="str">
        <f>IF($F243="","",IF($X243="","",IF($Y243&lt;0,"Past EOL",IF($Y243&lt;=Settings!$B$4,"EOL soon","Supported"))))</f>
        <v/>
      </c>
      <c r="AC243" s="28" t="str">
        <f t="shared" si="24"/>
        <v/>
      </c>
      <c r="AD243" s="20"/>
      <c r="AE243" s="22"/>
      <c r="AF243" s="21"/>
      <c r="AG243" s="21"/>
    </row>
    <row r="244" spans="1:33">
      <c r="A244" s="20"/>
      <c r="B244" s="20"/>
      <c r="C244" s="44"/>
      <c r="D244" s="44"/>
      <c r="E244" s="20"/>
      <c r="F244" s="21"/>
      <c r="G244" s="21"/>
      <c r="H244" s="20"/>
      <c r="I244" s="20"/>
      <c r="J244" s="20"/>
      <c r="K244" s="21"/>
      <c r="L244" s="22"/>
      <c r="M244" s="22"/>
      <c r="N244" s="23" t="str">
        <f t="shared" ca="1" si="19"/>
        <v/>
      </c>
      <c r="O244" s="20"/>
      <c r="P244" s="20"/>
      <c r="Q244" s="24"/>
      <c r="R244" s="24"/>
      <c r="S244" s="23" t="str">
        <f t="shared" si="20"/>
        <v/>
      </c>
      <c r="T244" s="25" t="str">
        <f t="shared" si="21"/>
        <v/>
      </c>
      <c r="U244" s="26"/>
      <c r="V244" s="20"/>
      <c r="W244" s="27" t="str">
        <f t="shared" si="22"/>
        <v/>
      </c>
      <c r="X244" s="22"/>
      <c r="Y244" s="23" t="str">
        <f t="shared" ca="1" si="23"/>
        <v/>
      </c>
      <c r="Z244" s="20"/>
      <c r="AA244" s="28" t="str">
        <f>IF($F244="","",IF($M244="","Missing expiry",IF($N244&lt;0,"Expired",IF($N244&lt;=Settings!$B$2,"Urgent",IF($N244&lt;=Settings!$B$3,"Review","Active")))))</f>
        <v/>
      </c>
      <c r="AB244" s="28" t="str">
        <f>IF($F244="","",IF($X244="","",IF($Y244&lt;0,"Past EOL",IF($Y244&lt;=Settings!$B$4,"EOL soon","Supported"))))</f>
        <v/>
      </c>
      <c r="AC244" s="28" t="str">
        <f t="shared" si="24"/>
        <v/>
      </c>
      <c r="AD244" s="20"/>
      <c r="AE244" s="22"/>
      <c r="AF244" s="21"/>
      <c r="AG244" s="21"/>
    </row>
    <row r="245" spans="1:33">
      <c r="A245" s="20"/>
      <c r="B245" s="20"/>
      <c r="C245" s="44"/>
      <c r="D245" s="44"/>
      <c r="E245" s="20"/>
      <c r="F245" s="21"/>
      <c r="G245" s="21"/>
      <c r="H245" s="20"/>
      <c r="I245" s="20"/>
      <c r="J245" s="20"/>
      <c r="K245" s="21"/>
      <c r="L245" s="22"/>
      <c r="M245" s="22"/>
      <c r="N245" s="23" t="str">
        <f t="shared" ca="1" si="19"/>
        <v/>
      </c>
      <c r="O245" s="20"/>
      <c r="P245" s="20"/>
      <c r="Q245" s="24"/>
      <c r="R245" s="24"/>
      <c r="S245" s="23" t="str">
        <f t="shared" si="20"/>
        <v/>
      </c>
      <c r="T245" s="25" t="str">
        <f t="shared" si="21"/>
        <v/>
      </c>
      <c r="U245" s="26"/>
      <c r="V245" s="20"/>
      <c r="W245" s="27" t="str">
        <f t="shared" si="22"/>
        <v/>
      </c>
      <c r="X245" s="22"/>
      <c r="Y245" s="23" t="str">
        <f t="shared" ca="1" si="23"/>
        <v/>
      </c>
      <c r="Z245" s="20"/>
      <c r="AA245" s="28" t="str">
        <f>IF($F245="","",IF($M245="","Missing expiry",IF($N245&lt;0,"Expired",IF($N245&lt;=Settings!$B$2,"Urgent",IF($N245&lt;=Settings!$B$3,"Review","Active")))))</f>
        <v/>
      </c>
      <c r="AB245" s="28" t="str">
        <f>IF($F245="","",IF($X245="","",IF($Y245&lt;0,"Past EOL",IF($Y245&lt;=Settings!$B$4,"EOL soon","Supported"))))</f>
        <v/>
      </c>
      <c r="AC245" s="28" t="str">
        <f t="shared" si="24"/>
        <v/>
      </c>
      <c r="AD245" s="20"/>
      <c r="AE245" s="22"/>
      <c r="AF245" s="21"/>
      <c r="AG245" s="21"/>
    </row>
    <row r="246" spans="1:33">
      <c r="A246" s="20"/>
      <c r="B246" s="20"/>
      <c r="C246" s="44"/>
      <c r="D246" s="44"/>
      <c r="E246" s="20"/>
      <c r="F246" s="21"/>
      <c r="G246" s="21"/>
      <c r="H246" s="20"/>
      <c r="I246" s="20"/>
      <c r="J246" s="20"/>
      <c r="K246" s="21"/>
      <c r="L246" s="22"/>
      <c r="M246" s="22"/>
      <c r="N246" s="23" t="str">
        <f t="shared" ca="1" si="19"/>
        <v/>
      </c>
      <c r="O246" s="20"/>
      <c r="P246" s="20"/>
      <c r="Q246" s="24"/>
      <c r="R246" s="24"/>
      <c r="S246" s="23" t="str">
        <f t="shared" si="20"/>
        <v/>
      </c>
      <c r="T246" s="25" t="str">
        <f t="shared" si="21"/>
        <v/>
      </c>
      <c r="U246" s="26"/>
      <c r="V246" s="20"/>
      <c r="W246" s="27" t="str">
        <f t="shared" si="22"/>
        <v/>
      </c>
      <c r="X246" s="22"/>
      <c r="Y246" s="23" t="str">
        <f t="shared" ca="1" si="23"/>
        <v/>
      </c>
      <c r="Z246" s="20"/>
      <c r="AA246" s="28" t="str">
        <f>IF($F246="","",IF($M246="","Missing expiry",IF($N246&lt;0,"Expired",IF($N246&lt;=Settings!$B$2,"Urgent",IF($N246&lt;=Settings!$B$3,"Review","Active")))))</f>
        <v/>
      </c>
      <c r="AB246" s="28" t="str">
        <f>IF($F246="","",IF($X246="","",IF($Y246&lt;0,"Past EOL",IF($Y246&lt;=Settings!$B$4,"EOL soon","Supported"))))</f>
        <v/>
      </c>
      <c r="AC246" s="28" t="str">
        <f t="shared" si="24"/>
        <v/>
      </c>
      <c r="AD246" s="20"/>
      <c r="AE246" s="22"/>
      <c r="AF246" s="21"/>
      <c r="AG246" s="21"/>
    </row>
    <row r="247" spans="1:33">
      <c r="A247" s="20"/>
      <c r="B247" s="20"/>
      <c r="C247" s="44"/>
      <c r="D247" s="44"/>
      <c r="E247" s="20"/>
      <c r="F247" s="21"/>
      <c r="G247" s="21"/>
      <c r="H247" s="20"/>
      <c r="I247" s="20"/>
      <c r="J247" s="20"/>
      <c r="K247" s="21"/>
      <c r="L247" s="22"/>
      <c r="M247" s="22"/>
      <c r="N247" s="23" t="str">
        <f t="shared" ca="1" si="19"/>
        <v/>
      </c>
      <c r="O247" s="20"/>
      <c r="P247" s="20"/>
      <c r="Q247" s="24"/>
      <c r="R247" s="24"/>
      <c r="S247" s="23" t="str">
        <f t="shared" si="20"/>
        <v/>
      </c>
      <c r="T247" s="25" t="str">
        <f t="shared" si="21"/>
        <v/>
      </c>
      <c r="U247" s="26"/>
      <c r="V247" s="20"/>
      <c r="W247" s="27" t="str">
        <f t="shared" si="22"/>
        <v/>
      </c>
      <c r="X247" s="22"/>
      <c r="Y247" s="23" t="str">
        <f t="shared" ca="1" si="23"/>
        <v/>
      </c>
      <c r="Z247" s="20"/>
      <c r="AA247" s="28" t="str">
        <f>IF($F247="","",IF($M247="","Missing expiry",IF($N247&lt;0,"Expired",IF($N247&lt;=Settings!$B$2,"Urgent",IF($N247&lt;=Settings!$B$3,"Review","Active")))))</f>
        <v/>
      </c>
      <c r="AB247" s="28" t="str">
        <f>IF($F247="","",IF($X247="","",IF($Y247&lt;0,"Past EOL",IF($Y247&lt;=Settings!$B$4,"EOL soon","Supported"))))</f>
        <v/>
      </c>
      <c r="AC247" s="28" t="str">
        <f t="shared" si="24"/>
        <v/>
      </c>
      <c r="AD247" s="20"/>
      <c r="AE247" s="22"/>
      <c r="AF247" s="21"/>
      <c r="AG247" s="21"/>
    </row>
    <row r="248" spans="1:33">
      <c r="A248" s="20"/>
      <c r="B248" s="20"/>
      <c r="C248" s="44"/>
      <c r="D248" s="44"/>
      <c r="E248" s="20"/>
      <c r="F248" s="21"/>
      <c r="G248" s="21"/>
      <c r="H248" s="20"/>
      <c r="I248" s="20"/>
      <c r="J248" s="20"/>
      <c r="K248" s="21"/>
      <c r="L248" s="22"/>
      <c r="M248" s="22"/>
      <c r="N248" s="23" t="str">
        <f t="shared" ca="1" si="19"/>
        <v/>
      </c>
      <c r="O248" s="20"/>
      <c r="P248" s="20"/>
      <c r="Q248" s="24"/>
      <c r="R248" s="24"/>
      <c r="S248" s="23" t="str">
        <f t="shared" si="20"/>
        <v/>
      </c>
      <c r="T248" s="25" t="str">
        <f t="shared" si="21"/>
        <v/>
      </c>
      <c r="U248" s="26"/>
      <c r="V248" s="20"/>
      <c r="W248" s="27" t="str">
        <f t="shared" si="22"/>
        <v/>
      </c>
      <c r="X248" s="22"/>
      <c r="Y248" s="23" t="str">
        <f t="shared" ca="1" si="23"/>
        <v/>
      </c>
      <c r="Z248" s="20"/>
      <c r="AA248" s="28" t="str">
        <f>IF($F248="","",IF($M248="","Missing expiry",IF($N248&lt;0,"Expired",IF($N248&lt;=Settings!$B$2,"Urgent",IF($N248&lt;=Settings!$B$3,"Review","Active")))))</f>
        <v/>
      </c>
      <c r="AB248" s="28" t="str">
        <f>IF($F248="","",IF($X248="","",IF($Y248&lt;0,"Past EOL",IF($Y248&lt;=Settings!$B$4,"EOL soon","Supported"))))</f>
        <v/>
      </c>
      <c r="AC248" s="28" t="str">
        <f t="shared" si="24"/>
        <v/>
      </c>
      <c r="AD248" s="20"/>
      <c r="AE248" s="22"/>
      <c r="AF248" s="21"/>
      <c r="AG248" s="21"/>
    </row>
    <row r="249" spans="1:33">
      <c r="A249" s="20"/>
      <c r="B249" s="20"/>
      <c r="C249" s="44"/>
      <c r="D249" s="44"/>
      <c r="E249" s="20"/>
      <c r="F249" s="21"/>
      <c r="G249" s="21"/>
      <c r="H249" s="20"/>
      <c r="I249" s="20"/>
      <c r="J249" s="20"/>
      <c r="K249" s="21"/>
      <c r="L249" s="22"/>
      <c r="M249" s="22"/>
      <c r="N249" s="23" t="str">
        <f t="shared" ca="1" si="19"/>
        <v/>
      </c>
      <c r="O249" s="20"/>
      <c r="P249" s="20"/>
      <c r="Q249" s="24"/>
      <c r="R249" s="24"/>
      <c r="S249" s="23" t="str">
        <f t="shared" si="20"/>
        <v/>
      </c>
      <c r="T249" s="25" t="str">
        <f t="shared" si="21"/>
        <v/>
      </c>
      <c r="U249" s="26"/>
      <c r="V249" s="20"/>
      <c r="W249" s="27" t="str">
        <f t="shared" si="22"/>
        <v/>
      </c>
      <c r="X249" s="22"/>
      <c r="Y249" s="23" t="str">
        <f t="shared" ca="1" si="23"/>
        <v/>
      </c>
      <c r="Z249" s="20"/>
      <c r="AA249" s="28" t="str">
        <f>IF($F249="","",IF($M249="","Missing expiry",IF($N249&lt;0,"Expired",IF($N249&lt;=Settings!$B$2,"Urgent",IF($N249&lt;=Settings!$B$3,"Review","Active")))))</f>
        <v/>
      </c>
      <c r="AB249" s="28" t="str">
        <f>IF($F249="","",IF($X249="","",IF($Y249&lt;0,"Past EOL",IF($Y249&lt;=Settings!$B$4,"EOL soon","Supported"))))</f>
        <v/>
      </c>
      <c r="AC249" s="28" t="str">
        <f t="shared" si="24"/>
        <v/>
      </c>
      <c r="AD249" s="20"/>
      <c r="AE249" s="22"/>
      <c r="AF249" s="21"/>
      <c r="AG249" s="21"/>
    </row>
    <row r="250" spans="1:33">
      <c r="A250" s="20"/>
      <c r="B250" s="20"/>
      <c r="C250" s="44"/>
      <c r="D250" s="44"/>
      <c r="E250" s="20"/>
      <c r="F250" s="21"/>
      <c r="G250" s="21"/>
      <c r="H250" s="20"/>
      <c r="I250" s="20"/>
      <c r="J250" s="20"/>
      <c r="K250" s="21"/>
      <c r="L250" s="22"/>
      <c r="M250" s="22"/>
      <c r="N250" s="23" t="str">
        <f t="shared" ca="1" si="19"/>
        <v/>
      </c>
      <c r="O250" s="20"/>
      <c r="P250" s="20"/>
      <c r="Q250" s="24"/>
      <c r="R250" s="24"/>
      <c r="S250" s="23" t="str">
        <f t="shared" si="20"/>
        <v/>
      </c>
      <c r="T250" s="25" t="str">
        <f t="shared" si="21"/>
        <v/>
      </c>
      <c r="U250" s="26"/>
      <c r="V250" s="20"/>
      <c r="W250" s="27" t="str">
        <f t="shared" si="22"/>
        <v/>
      </c>
      <c r="X250" s="22"/>
      <c r="Y250" s="23" t="str">
        <f t="shared" ca="1" si="23"/>
        <v/>
      </c>
      <c r="Z250" s="20"/>
      <c r="AA250" s="28" t="str">
        <f>IF($F250="","",IF($M250="","Missing expiry",IF($N250&lt;0,"Expired",IF($N250&lt;=Settings!$B$2,"Urgent",IF($N250&lt;=Settings!$B$3,"Review","Active")))))</f>
        <v/>
      </c>
      <c r="AB250" s="28" t="str">
        <f>IF($F250="","",IF($X250="","",IF($Y250&lt;0,"Past EOL",IF($Y250&lt;=Settings!$B$4,"EOL soon","Supported"))))</f>
        <v/>
      </c>
      <c r="AC250" s="28" t="str">
        <f t="shared" si="24"/>
        <v/>
      </c>
      <c r="AD250" s="20"/>
      <c r="AE250" s="22"/>
      <c r="AF250" s="21"/>
      <c r="AG250" s="21"/>
    </row>
    <row r="251" spans="1:33">
      <c r="A251" s="20"/>
      <c r="B251" s="20"/>
      <c r="C251" s="44"/>
      <c r="D251" s="44"/>
      <c r="E251" s="20"/>
      <c r="F251" s="21"/>
      <c r="G251" s="21"/>
      <c r="H251" s="20"/>
      <c r="I251" s="20"/>
      <c r="J251" s="20"/>
      <c r="K251" s="21"/>
      <c r="L251" s="22"/>
      <c r="M251" s="22"/>
      <c r="N251" s="23" t="str">
        <f t="shared" ca="1" si="19"/>
        <v/>
      </c>
      <c r="O251" s="20"/>
      <c r="P251" s="20"/>
      <c r="Q251" s="24"/>
      <c r="R251" s="24"/>
      <c r="S251" s="23" t="str">
        <f t="shared" si="20"/>
        <v/>
      </c>
      <c r="T251" s="25" t="str">
        <f t="shared" si="21"/>
        <v/>
      </c>
      <c r="U251" s="26"/>
      <c r="V251" s="20"/>
      <c r="W251" s="27" t="str">
        <f t="shared" si="22"/>
        <v/>
      </c>
      <c r="X251" s="22"/>
      <c r="Y251" s="23" t="str">
        <f t="shared" ca="1" si="23"/>
        <v/>
      </c>
      <c r="Z251" s="20"/>
      <c r="AA251" s="28" t="str">
        <f>IF($F251="","",IF($M251="","Missing expiry",IF($N251&lt;0,"Expired",IF($N251&lt;=Settings!$B$2,"Urgent",IF($N251&lt;=Settings!$B$3,"Review","Active")))))</f>
        <v/>
      </c>
      <c r="AB251" s="28" t="str">
        <f>IF($F251="","",IF($X251="","",IF($Y251&lt;0,"Past EOL",IF($Y251&lt;=Settings!$B$4,"EOL soon","Supported"))))</f>
        <v/>
      </c>
      <c r="AC251" s="28" t="str">
        <f t="shared" si="24"/>
        <v/>
      </c>
      <c r="AD251" s="20"/>
      <c r="AE251" s="22"/>
      <c r="AF251" s="21"/>
      <c r="AG251" s="21"/>
    </row>
    <row r="252" spans="1:33">
      <c r="A252" s="20"/>
      <c r="B252" s="20"/>
      <c r="C252" s="44"/>
      <c r="D252" s="44"/>
      <c r="E252" s="20"/>
      <c r="F252" s="21"/>
      <c r="G252" s="21"/>
      <c r="H252" s="20"/>
      <c r="I252" s="20"/>
      <c r="J252" s="20"/>
      <c r="K252" s="21"/>
      <c r="L252" s="22"/>
      <c r="M252" s="22"/>
      <c r="N252" s="23" t="str">
        <f t="shared" ca="1" si="19"/>
        <v/>
      </c>
      <c r="O252" s="20"/>
      <c r="P252" s="20"/>
      <c r="Q252" s="24"/>
      <c r="R252" s="24"/>
      <c r="S252" s="23" t="str">
        <f t="shared" si="20"/>
        <v/>
      </c>
      <c r="T252" s="25" t="str">
        <f t="shared" si="21"/>
        <v/>
      </c>
      <c r="U252" s="26"/>
      <c r="V252" s="20"/>
      <c r="W252" s="27" t="str">
        <f t="shared" si="22"/>
        <v/>
      </c>
      <c r="X252" s="22"/>
      <c r="Y252" s="23" t="str">
        <f t="shared" ca="1" si="23"/>
        <v/>
      </c>
      <c r="Z252" s="20"/>
      <c r="AA252" s="28" t="str">
        <f>IF($F252="","",IF($M252="","Missing expiry",IF($N252&lt;0,"Expired",IF($N252&lt;=Settings!$B$2,"Urgent",IF($N252&lt;=Settings!$B$3,"Review","Active")))))</f>
        <v/>
      </c>
      <c r="AB252" s="28" t="str">
        <f>IF($F252="","",IF($X252="","",IF($Y252&lt;0,"Past EOL",IF($Y252&lt;=Settings!$B$4,"EOL soon","Supported"))))</f>
        <v/>
      </c>
      <c r="AC252" s="28" t="str">
        <f t="shared" si="24"/>
        <v/>
      </c>
      <c r="AD252" s="20"/>
      <c r="AE252" s="22"/>
      <c r="AF252" s="21"/>
      <c r="AG252" s="21"/>
    </row>
    <row r="253" spans="1:33">
      <c r="A253" s="20"/>
      <c r="B253" s="20"/>
      <c r="C253" s="44"/>
      <c r="D253" s="44"/>
      <c r="E253" s="20"/>
      <c r="F253" s="21"/>
      <c r="G253" s="21"/>
      <c r="H253" s="20"/>
      <c r="I253" s="20"/>
      <c r="J253" s="20"/>
      <c r="K253" s="21"/>
      <c r="L253" s="22"/>
      <c r="M253" s="22"/>
      <c r="N253" s="23" t="str">
        <f t="shared" ca="1" si="19"/>
        <v/>
      </c>
      <c r="O253" s="20"/>
      <c r="P253" s="20"/>
      <c r="Q253" s="24"/>
      <c r="R253" s="24"/>
      <c r="S253" s="23" t="str">
        <f t="shared" si="20"/>
        <v/>
      </c>
      <c r="T253" s="25" t="str">
        <f t="shared" si="21"/>
        <v/>
      </c>
      <c r="U253" s="26"/>
      <c r="V253" s="20"/>
      <c r="W253" s="27" t="str">
        <f t="shared" si="22"/>
        <v/>
      </c>
      <c r="X253" s="22"/>
      <c r="Y253" s="23" t="str">
        <f t="shared" ca="1" si="23"/>
        <v/>
      </c>
      <c r="Z253" s="20"/>
      <c r="AA253" s="28" t="str">
        <f>IF($F253="","",IF($M253="","Missing expiry",IF($N253&lt;0,"Expired",IF($N253&lt;=Settings!$B$2,"Urgent",IF($N253&lt;=Settings!$B$3,"Review","Active")))))</f>
        <v/>
      </c>
      <c r="AB253" s="28" t="str">
        <f>IF($F253="","",IF($X253="","",IF($Y253&lt;0,"Past EOL",IF($Y253&lt;=Settings!$B$4,"EOL soon","Supported"))))</f>
        <v/>
      </c>
      <c r="AC253" s="28" t="str">
        <f t="shared" si="24"/>
        <v/>
      </c>
      <c r="AD253" s="20"/>
      <c r="AE253" s="22"/>
      <c r="AF253" s="21"/>
      <c r="AG253" s="21"/>
    </row>
    <row r="254" spans="1:33">
      <c r="A254" s="20"/>
      <c r="B254" s="20"/>
      <c r="C254" s="44"/>
      <c r="D254" s="44"/>
      <c r="E254" s="20"/>
      <c r="F254" s="21"/>
      <c r="G254" s="21"/>
      <c r="H254" s="20"/>
      <c r="I254" s="20"/>
      <c r="J254" s="20"/>
      <c r="K254" s="21"/>
      <c r="L254" s="22"/>
      <c r="M254" s="22"/>
      <c r="N254" s="23" t="str">
        <f t="shared" ca="1" si="19"/>
        <v/>
      </c>
      <c r="O254" s="20"/>
      <c r="P254" s="20"/>
      <c r="Q254" s="24"/>
      <c r="R254" s="24"/>
      <c r="S254" s="23" t="str">
        <f t="shared" si="20"/>
        <v/>
      </c>
      <c r="T254" s="25" t="str">
        <f t="shared" si="21"/>
        <v/>
      </c>
      <c r="U254" s="26"/>
      <c r="V254" s="20"/>
      <c r="W254" s="27" t="str">
        <f t="shared" si="22"/>
        <v/>
      </c>
      <c r="X254" s="22"/>
      <c r="Y254" s="23" t="str">
        <f t="shared" ca="1" si="23"/>
        <v/>
      </c>
      <c r="Z254" s="20"/>
      <c r="AA254" s="28" t="str">
        <f>IF($F254="","",IF($M254="","Missing expiry",IF($N254&lt;0,"Expired",IF($N254&lt;=Settings!$B$2,"Urgent",IF($N254&lt;=Settings!$B$3,"Review","Active")))))</f>
        <v/>
      </c>
      <c r="AB254" s="28" t="str">
        <f>IF($F254="","",IF($X254="","",IF($Y254&lt;0,"Past EOL",IF($Y254&lt;=Settings!$B$4,"EOL soon","Supported"))))</f>
        <v/>
      </c>
      <c r="AC254" s="28" t="str">
        <f t="shared" si="24"/>
        <v/>
      </c>
      <c r="AD254" s="20"/>
      <c r="AE254" s="22"/>
      <c r="AF254" s="21"/>
      <c r="AG254" s="21"/>
    </row>
    <row r="255" spans="1:33">
      <c r="A255" s="20"/>
      <c r="B255" s="20"/>
      <c r="C255" s="44"/>
      <c r="D255" s="44"/>
      <c r="E255" s="20"/>
      <c r="F255" s="21"/>
      <c r="G255" s="21"/>
      <c r="H255" s="20"/>
      <c r="I255" s="20"/>
      <c r="J255" s="20"/>
      <c r="K255" s="21"/>
      <c r="L255" s="22"/>
      <c r="M255" s="22"/>
      <c r="N255" s="23" t="str">
        <f t="shared" ca="1" si="19"/>
        <v/>
      </c>
      <c r="O255" s="20"/>
      <c r="P255" s="20"/>
      <c r="Q255" s="24"/>
      <c r="R255" s="24"/>
      <c r="S255" s="23" t="str">
        <f t="shared" si="20"/>
        <v/>
      </c>
      <c r="T255" s="25" t="str">
        <f t="shared" si="21"/>
        <v/>
      </c>
      <c r="U255" s="26"/>
      <c r="V255" s="20"/>
      <c r="W255" s="27" t="str">
        <f t="shared" si="22"/>
        <v/>
      </c>
      <c r="X255" s="22"/>
      <c r="Y255" s="23" t="str">
        <f t="shared" ca="1" si="23"/>
        <v/>
      </c>
      <c r="Z255" s="20"/>
      <c r="AA255" s="28" t="str">
        <f>IF($F255="","",IF($M255="","Missing expiry",IF($N255&lt;0,"Expired",IF($N255&lt;=Settings!$B$2,"Urgent",IF($N255&lt;=Settings!$B$3,"Review","Active")))))</f>
        <v/>
      </c>
      <c r="AB255" s="28" t="str">
        <f>IF($F255="","",IF($X255="","",IF($Y255&lt;0,"Past EOL",IF($Y255&lt;=Settings!$B$4,"EOL soon","Supported"))))</f>
        <v/>
      </c>
      <c r="AC255" s="28" t="str">
        <f t="shared" si="24"/>
        <v/>
      </c>
      <c r="AD255" s="20"/>
      <c r="AE255" s="22"/>
      <c r="AF255" s="21"/>
      <c r="AG255" s="21"/>
    </row>
    <row r="256" spans="1:33">
      <c r="A256" s="20"/>
      <c r="B256" s="20"/>
      <c r="C256" s="44"/>
      <c r="D256" s="44"/>
      <c r="E256" s="20"/>
      <c r="F256" s="21"/>
      <c r="G256" s="21"/>
      <c r="H256" s="20"/>
      <c r="I256" s="20"/>
      <c r="J256" s="20"/>
      <c r="K256" s="21"/>
      <c r="L256" s="22"/>
      <c r="M256" s="22"/>
      <c r="N256" s="23" t="str">
        <f t="shared" ca="1" si="19"/>
        <v/>
      </c>
      <c r="O256" s="20"/>
      <c r="P256" s="20"/>
      <c r="Q256" s="24"/>
      <c r="R256" s="24"/>
      <c r="S256" s="23" t="str">
        <f t="shared" si="20"/>
        <v/>
      </c>
      <c r="T256" s="25" t="str">
        <f t="shared" si="21"/>
        <v/>
      </c>
      <c r="U256" s="26"/>
      <c r="V256" s="20"/>
      <c r="W256" s="27" t="str">
        <f t="shared" si="22"/>
        <v/>
      </c>
      <c r="X256" s="22"/>
      <c r="Y256" s="23" t="str">
        <f t="shared" ca="1" si="23"/>
        <v/>
      </c>
      <c r="Z256" s="20"/>
      <c r="AA256" s="28" t="str">
        <f>IF($F256="","",IF($M256="","Missing expiry",IF($N256&lt;0,"Expired",IF($N256&lt;=Settings!$B$2,"Urgent",IF($N256&lt;=Settings!$B$3,"Review","Active")))))</f>
        <v/>
      </c>
      <c r="AB256" s="28" t="str">
        <f>IF($F256="","",IF($X256="","",IF($Y256&lt;0,"Past EOL",IF($Y256&lt;=Settings!$B$4,"EOL soon","Supported"))))</f>
        <v/>
      </c>
      <c r="AC256" s="28" t="str">
        <f t="shared" si="24"/>
        <v/>
      </c>
      <c r="AD256" s="20"/>
      <c r="AE256" s="22"/>
      <c r="AF256" s="21"/>
      <c r="AG256" s="21"/>
    </row>
    <row r="257" spans="1:33">
      <c r="A257" s="20"/>
      <c r="B257" s="20"/>
      <c r="C257" s="44"/>
      <c r="D257" s="44"/>
      <c r="E257" s="20"/>
      <c r="F257" s="21"/>
      <c r="G257" s="21"/>
      <c r="H257" s="20"/>
      <c r="I257" s="20"/>
      <c r="J257" s="20"/>
      <c r="K257" s="21"/>
      <c r="L257" s="22"/>
      <c r="M257" s="22"/>
      <c r="N257" s="23" t="str">
        <f t="shared" ca="1" si="19"/>
        <v/>
      </c>
      <c r="O257" s="20"/>
      <c r="P257" s="20"/>
      <c r="Q257" s="24"/>
      <c r="R257" s="24"/>
      <c r="S257" s="23" t="str">
        <f t="shared" si="20"/>
        <v/>
      </c>
      <c r="T257" s="25" t="str">
        <f t="shared" si="21"/>
        <v/>
      </c>
      <c r="U257" s="26"/>
      <c r="V257" s="20"/>
      <c r="W257" s="27" t="str">
        <f t="shared" si="22"/>
        <v/>
      </c>
      <c r="X257" s="22"/>
      <c r="Y257" s="23" t="str">
        <f t="shared" ca="1" si="23"/>
        <v/>
      </c>
      <c r="Z257" s="20"/>
      <c r="AA257" s="28" t="str">
        <f>IF($F257="","",IF($M257="","Missing expiry",IF($N257&lt;0,"Expired",IF($N257&lt;=Settings!$B$2,"Urgent",IF($N257&lt;=Settings!$B$3,"Review","Active")))))</f>
        <v/>
      </c>
      <c r="AB257" s="28" t="str">
        <f>IF($F257="","",IF($X257="","",IF($Y257&lt;0,"Past EOL",IF($Y257&lt;=Settings!$B$4,"EOL soon","Supported"))))</f>
        <v/>
      </c>
      <c r="AC257" s="28" t="str">
        <f t="shared" si="24"/>
        <v/>
      </c>
      <c r="AD257" s="20"/>
      <c r="AE257" s="22"/>
      <c r="AF257" s="21"/>
      <c r="AG257" s="21"/>
    </row>
    <row r="258" spans="1:33">
      <c r="A258" s="20"/>
      <c r="B258" s="20"/>
      <c r="C258" s="44"/>
      <c r="D258" s="44"/>
      <c r="E258" s="20"/>
      <c r="F258" s="21"/>
      <c r="G258" s="21"/>
      <c r="H258" s="20"/>
      <c r="I258" s="20"/>
      <c r="J258" s="20"/>
      <c r="K258" s="21"/>
      <c r="L258" s="22"/>
      <c r="M258" s="22"/>
      <c r="N258" s="23" t="str">
        <f t="shared" ca="1" si="19"/>
        <v/>
      </c>
      <c r="O258" s="20"/>
      <c r="P258" s="20"/>
      <c r="Q258" s="24"/>
      <c r="R258" s="24"/>
      <c r="S258" s="23" t="str">
        <f t="shared" si="20"/>
        <v/>
      </c>
      <c r="T258" s="25" t="str">
        <f t="shared" si="21"/>
        <v/>
      </c>
      <c r="U258" s="26"/>
      <c r="V258" s="20"/>
      <c r="W258" s="27" t="str">
        <f t="shared" si="22"/>
        <v/>
      </c>
      <c r="X258" s="22"/>
      <c r="Y258" s="23" t="str">
        <f t="shared" ca="1" si="23"/>
        <v/>
      </c>
      <c r="Z258" s="20"/>
      <c r="AA258" s="28" t="str">
        <f>IF($F258="","",IF($M258="","Missing expiry",IF($N258&lt;0,"Expired",IF($N258&lt;=Settings!$B$2,"Urgent",IF($N258&lt;=Settings!$B$3,"Review","Active")))))</f>
        <v/>
      </c>
      <c r="AB258" s="28" t="str">
        <f>IF($F258="","",IF($X258="","",IF($Y258&lt;0,"Past EOL",IF($Y258&lt;=Settings!$B$4,"EOL soon","Supported"))))</f>
        <v/>
      </c>
      <c r="AC258" s="28" t="str">
        <f t="shared" si="24"/>
        <v/>
      </c>
      <c r="AD258" s="20"/>
      <c r="AE258" s="22"/>
      <c r="AF258" s="21"/>
      <c r="AG258" s="21"/>
    </row>
    <row r="259" spans="1:33">
      <c r="A259" s="20"/>
      <c r="B259" s="20"/>
      <c r="C259" s="44"/>
      <c r="D259" s="44"/>
      <c r="E259" s="20"/>
      <c r="F259" s="21"/>
      <c r="G259" s="21"/>
      <c r="H259" s="20"/>
      <c r="I259" s="20"/>
      <c r="J259" s="20"/>
      <c r="K259" s="21"/>
      <c r="L259" s="22"/>
      <c r="M259" s="22"/>
      <c r="N259" s="23" t="str">
        <f t="shared" ca="1" si="19"/>
        <v/>
      </c>
      <c r="O259" s="20"/>
      <c r="P259" s="20"/>
      <c r="Q259" s="24"/>
      <c r="R259" s="24"/>
      <c r="S259" s="23" t="str">
        <f t="shared" si="20"/>
        <v/>
      </c>
      <c r="T259" s="25" t="str">
        <f t="shared" si="21"/>
        <v/>
      </c>
      <c r="U259" s="26"/>
      <c r="V259" s="20"/>
      <c r="W259" s="27" t="str">
        <f t="shared" si="22"/>
        <v/>
      </c>
      <c r="X259" s="22"/>
      <c r="Y259" s="23" t="str">
        <f t="shared" ca="1" si="23"/>
        <v/>
      </c>
      <c r="Z259" s="20"/>
      <c r="AA259" s="28" t="str">
        <f>IF($F259="","",IF($M259="","Missing expiry",IF($N259&lt;0,"Expired",IF($N259&lt;=Settings!$B$2,"Urgent",IF($N259&lt;=Settings!$B$3,"Review","Active")))))</f>
        <v/>
      </c>
      <c r="AB259" s="28" t="str">
        <f>IF($F259="","",IF($X259="","",IF($Y259&lt;0,"Past EOL",IF($Y259&lt;=Settings!$B$4,"EOL soon","Supported"))))</f>
        <v/>
      </c>
      <c r="AC259" s="28" t="str">
        <f t="shared" si="24"/>
        <v/>
      </c>
      <c r="AD259" s="20"/>
      <c r="AE259" s="22"/>
      <c r="AF259" s="21"/>
      <c r="AG259" s="21"/>
    </row>
    <row r="260" spans="1:33">
      <c r="A260" s="20"/>
      <c r="B260" s="20"/>
      <c r="C260" s="44"/>
      <c r="D260" s="44"/>
      <c r="E260" s="20"/>
      <c r="F260" s="21"/>
      <c r="G260" s="21"/>
      <c r="H260" s="20"/>
      <c r="I260" s="20"/>
      <c r="J260" s="20"/>
      <c r="K260" s="21"/>
      <c r="L260" s="22"/>
      <c r="M260" s="22"/>
      <c r="N260" s="23" t="str">
        <f t="shared" ca="1" si="19"/>
        <v/>
      </c>
      <c r="O260" s="20"/>
      <c r="P260" s="20"/>
      <c r="Q260" s="24"/>
      <c r="R260" s="24"/>
      <c r="S260" s="23" t="str">
        <f t="shared" si="20"/>
        <v/>
      </c>
      <c r="T260" s="25" t="str">
        <f t="shared" si="21"/>
        <v/>
      </c>
      <c r="U260" s="26"/>
      <c r="V260" s="20"/>
      <c r="W260" s="27" t="str">
        <f t="shared" si="22"/>
        <v/>
      </c>
      <c r="X260" s="22"/>
      <c r="Y260" s="23" t="str">
        <f t="shared" ca="1" si="23"/>
        <v/>
      </c>
      <c r="Z260" s="20"/>
      <c r="AA260" s="28" t="str">
        <f>IF($F260="","",IF($M260="","Missing expiry",IF($N260&lt;0,"Expired",IF($N260&lt;=Settings!$B$2,"Urgent",IF($N260&lt;=Settings!$B$3,"Review","Active")))))</f>
        <v/>
      </c>
      <c r="AB260" s="28" t="str">
        <f>IF($F260="","",IF($X260="","",IF($Y260&lt;0,"Past EOL",IF($Y260&lt;=Settings!$B$4,"EOL soon","Supported"))))</f>
        <v/>
      </c>
      <c r="AC260" s="28" t="str">
        <f t="shared" si="24"/>
        <v/>
      </c>
      <c r="AD260" s="20"/>
      <c r="AE260" s="22"/>
      <c r="AF260" s="21"/>
      <c r="AG260" s="21"/>
    </row>
    <row r="261" spans="1:33">
      <c r="A261" s="20"/>
      <c r="B261" s="20"/>
      <c r="C261" s="44"/>
      <c r="D261" s="44"/>
      <c r="E261" s="20"/>
      <c r="F261" s="21"/>
      <c r="G261" s="21"/>
      <c r="H261" s="20"/>
      <c r="I261" s="20"/>
      <c r="J261" s="20"/>
      <c r="K261" s="21"/>
      <c r="L261" s="22"/>
      <c r="M261" s="22"/>
      <c r="N261" s="23" t="str">
        <f t="shared" ca="1" si="19"/>
        <v/>
      </c>
      <c r="O261" s="20"/>
      <c r="P261" s="20"/>
      <c r="Q261" s="24"/>
      <c r="R261" s="24"/>
      <c r="S261" s="23" t="str">
        <f t="shared" si="20"/>
        <v/>
      </c>
      <c r="T261" s="25" t="str">
        <f t="shared" si="21"/>
        <v/>
      </c>
      <c r="U261" s="26"/>
      <c r="V261" s="20"/>
      <c r="W261" s="27" t="str">
        <f t="shared" si="22"/>
        <v/>
      </c>
      <c r="X261" s="22"/>
      <c r="Y261" s="23" t="str">
        <f t="shared" ca="1" si="23"/>
        <v/>
      </c>
      <c r="Z261" s="20"/>
      <c r="AA261" s="28" t="str">
        <f>IF($F261="","",IF($M261="","Missing expiry",IF($N261&lt;0,"Expired",IF($N261&lt;=Settings!$B$2,"Urgent",IF($N261&lt;=Settings!$B$3,"Review","Active")))))</f>
        <v/>
      </c>
      <c r="AB261" s="28" t="str">
        <f>IF($F261="","",IF($X261="","",IF($Y261&lt;0,"Past EOL",IF($Y261&lt;=Settings!$B$4,"EOL soon","Supported"))))</f>
        <v/>
      </c>
      <c r="AC261" s="28" t="str">
        <f t="shared" si="24"/>
        <v/>
      </c>
      <c r="AD261" s="20"/>
      <c r="AE261" s="22"/>
      <c r="AF261" s="21"/>
      <c r="AG261" s="21"/>
    </row>
    <row r="262" spans="1:33">
      <c r="A262" s="20"/>
      <c r="B262" s="20"/>
      <c r="C262" s="44"/>
      <c r="D262" s="44"/>
      <c r="E262" s="20"/>
      <c r="F262" s="21"/>
      <c r="G262" s="21"/>
      <c r="H262" s="20"/>
      <c r="I262" s="20"/>
      <c r="J262" s="20"/>
      <c r="K262" s="21"/>
      <c r="L262" s="22"/>
      <c r="M262" s="22"/>
      <c r="N262" s="23" t="str">
        <f t="shared" ca="1" si="19"/>
        <v/>
      </c>
      <c r="O262" s="20"/>
      <c r="P262" s="20"/>
      <c r="Q262" s="24"/>
      <c r="R262" s="24"/>
      <c r="S262" s="23" t="str">
        <f t="shared" si="20"/>
        <v/>
      </c>
      <c r="T262" s="25" t="str">
        <f t="shared" si="21"/>
        <v/>
      </c>
      <c r="U262" s="26"/>
      <c r="V262" s="20"/>
      <c r="W262" s="27" t="str">
        <f t="shared" si="22"/>
        <v/>
      </c>
      <c r="X262" s="22"/>
      <c r="Y262" s="23" t="str">
        <f t="shared" ca="1" si="23"/>
        <v/>
      </c>
      <c r="Z262" s="20"/>
      <c r="AA262" s="28" t="str">
        <f>IF($F262="","",IF($M262="","Missing expiry",IF($N262&lt;0,"Expired",IF($N262&lt;=Settings!$B$2,"Urgent",IF($N262&lt;=Settings!$B$3,"Review","Active")))))</f>
        <v/>
      </c>
      <c r="AB262" s="28" t="str">
        <f>IF($F262="","",IF($X262="","",IF($Y262&lt;0,"Past EOL",IF($Y262&lt;=Settings!$B$4,"EOL soon","Supported"))))</f>
        <v/>
      </c>
      <c r="AC262" s="28" t="str">
        <f t="shared" si="24"/>
        <v/>
      </c>
      <c r="AD262" s="20"/>
      <c r="AE262" s="22"/>
      <c r="AF262" s="21"/>
      <c r="AG262" s="21"/>
    </row>
    <row r="263" spans="1:33">
      <c r="A263" s="20"/>
      <c r="B263" s="20"/>
      <c r="C263" s="44"/>
      <c r="D263" s="44"/>
      <c r="E263" s="20"/>
      <c r="F263" s="21"/>
      <c r="G263" s="21"/>
      <c r="H263" s="20"/>
      <c r="I263" s="20"/>
      <c r="J263" s="20"/>
      <c r="K263" s="21"/>
      <c r="L263" s="22"/>
      <c r="M263" s="22"/>
      <c r="N263" s="23" t="str">
        <f t="shared" ref="N263:N306" ca="1" si="25">IF($F263="","",IF($M263="","",$M263-TODAY()))</f>
        <v/>
      </c>
      <c r="O263" s="20"/>
      <c r="P263" s="20"/>
      <c r="Q263" s="24"/>
      <c r="R263" s="24"/>
      <c r="S263" s="23" t="str">
        <f t="shared" ref="S263:S306" si="26">IF($F263="","",IF(OR($Q263="",$R263=""),"",$Q263-$R263))</f>
        <v/>
      </c>
      <c r="T263" s="25" t="str">
        <f t="shared" ref="T263:T306" si="27">IF($F263="","",IF(OR($Q263="",$Q263=0,$R263=""),"",$R263/$Q263))</f>
        <v/>
      </c>
      <c r="U263" s="26"/>
      <c r="V263" s="20"/>
      <c r="W263" s="27" t="str">
        <f t="shared" ref="W263:W306" si="28">IF($F263="","",IF(OR($U263="",$Q263=""),"",$U263*$Q263))</f>
        <v/>
      </c>
      <c r="X263" s="22"/>
      <c r="Y263" s="23" t="str">
        <f t="shared" ref="Y263:Y306" ca="1" si="29">IF($F263="","",IF($X263="","",$X263-TODAY()))</f>
        <v/>
      </c>
      <c r="Z263" s="20"/>
      <c r="AA263" s="28" t="str">
        <f>IF($F263="","",IF($M263="","Missing expiry",IF($N263&lt;0,"Expired",IF($N263&lt;=Settings!$B$2,"Urgent",IF($N263&lt;=Settings!$B$3,"Review","Active")))))</f>
        <v/>
      </c>
      <c r="AB263" s="28" t="str">
        <f>IF($F263="","",IF($X263="","",IF($Y263&lt;0,"Past EOL",IF($Y263&lt;=Settings!$B$4,"EOL soon","Supported"))))</f>
        <v/>
      </c>
      <c r="AC263" s="28" t="str">
        <f t="shared" ref="AC263:AC306" si="30">IF($F263="","",IF(OR($AA263="Expired",$AA263="Urgent",$AB263="Past EOL",$AB263="EOL soon"),"Yes","No"))</f>
        <v/>
      </c>
      <c r="AD263" s="20"/>
      <c r="AE263" s="22"/>
      <c r="AF263" s="21"/>
      <c r="AG263" s="21"/>
    </row>
    <row r="264" spans="1:33">
      <c r="A264" s="20"/>
      <c r="B264" s="20"/>
      <c r="C264" s="44"/>
      <c r="D264" s="44"/>
      <c r="E264" s="20"/>
      <c r="F264" s="21"/>
      <c r="G264" s="21"/>
      <c r="H264" s="20"/>
      <c r="I264" s="20"/>
      <c r="J264" s="20"/>
      <c r="K264" s="21"/>
      <c r="L264" s="22"/>
      <c r="M264" s="22"/>
      <c r="N264" s="23" t="str">
        <f t="shared" ca="1" si="25"/>
        <v/>
      </c>
      <c r="O264" s="20"/>
      <c r="P264" s="20"/>
      <c r="Q264" s="24"/>
      <c r="R264" s="24"/>
      <c r="S264" s="23" t="str">
        <f t="shared" si="26"/>
        <v/>
      </c>
      <c r="T264" s="25" t="str">
        <f t="shared" si="27"/>
        <v/>
      </c>
      <c r="U264" s="26"/>
      <c r="V264" s="20"/>
      <c r="W264" s="27" t="str">
        <f t="shared" si="28"/>
        <v/>
      </c>
      <c r="X264" s="22"/>
      <c r="Y264" s="23" t="str">
        <f t="shared" ca="1" si="29"/>
        <v/>
      </c>
      <c r="Z264" s="20"/>
      <c r="AA264" s="28" t="str">
        <f>IF($F264="","",IF($M264="","Missing expiry",IF($N264&lt;0,"Expired",IF($N264&lt;=Settings!$B$2,"Urgent",IF($N264&lt;=Settings!$B$3,"Review","Active")))))</f>
        <v/>
      </c>
      <c r="AB264" s="28" t="str">
        <f>IF($F264="","",IF($X264="","",IF($Y264&lt;0,"Past EOL",IF($Y264&lt;=Settings!$B$4,"EOL soon","Supported"))))</f>
        <v/>
      </c>
      <c r="AC264" s="28" t="str">
        <f t="shared" si="30"/>
        <v/>
      </c>
      <c r="AD264" s="20"/>
      <c r="AE264" s="22"/>
      <c r="AF264" s="21"/>
      <c r="AG264" s="21"/>
    </row>
    <row r="265" spans="1:33">
      <c r="A265" s="20"/>
      <c r="B265" s="20"/>
      <c r="C265" s="44"/>
      <c r="D265" s="44"/>
      <c r="E265" s="20"/>
      <c r="F265" s="21"/>
      <c r="G265" s="21"/>
      <c r="H265" s="20"/>
      <c r="I265" s="20"/>
      <c r="J265" s="20"/>
      <c r="K265" s="21"/>
      <c r="L265" s="22"/>
      <c r="M265" s="22"/>
      <c r="N265" s="23" t="str">
        <f t="shared" ca="1" si="25"/>
        <v/>
      </c>
      <c r="O265" s="20"/>
      <c r="P265" s="20"/>
      <c r="Q265" s="24"/>
      <c r="R265" s="24"/>
      <c r="S265" s="23" t="str">
        <f t="shared" si="26"/>
        <v/>
      </c>
      <c r="T265" s="25" t="str">
        <f t="shared" si="27"/>
        <v/>
      </c>
      <c r="U265" s="26"/>
      <c r="V265" s="20"/>
      <c r="W265" s="27" t="str">
        <f t="shared" si="28"/>
        <v/>
      </c>
      <c r="X265" s="22"/>
      <c r="Y265" s="23" t="str">
        <f t="shared" ca="1" si="29"/>
        <v/>
      </c>
      <c r="Z265" s="20"/>
      <c r="AA265" s="28" t="str">
        <f>IF($F265="","",IF($M265="","Missing expiry",IF($N265&lt;0,"Expired",IF($N265&lt;=Settings!$B$2,"Urgent",IF($N265&lt;=Settings!$B$3,"Review","Active")))))</f>
        <v/>
      </c>
      <c r="AB265" s="28" t="str">
        <f>IF($F265="","",IF($X265="","",IF($Y265&lt;0,"Past EOL",IF($Y265&lt;=Settings!$B$4,"EOL soon","Supported"))))</f>
        <v/>
      </c>
      <c r="AC265" s="28" t="str">
        <f t="shared" si="30"/>
        <v/>
      </c>
      <c r="AD265" s="20"/>
      <c r="AE265" s="22"/>
      <c r="AF265" s="21"/>
      <c r="AG265" s="21"/>
    </row>
    <row r="266" spans="1:33">
      <c r="A266" s="20"/>
      <c r="B266" s="20"/>
      <c r="C266" s="44"/>
      <c r="D266" s="44"/>
      <c r="E266" s="20"/>
      <c r="F266" s="21"/>
      <c r="G266" s="21"/>
      <c r="H266" s="20"/>
      <c r="I266" s="20"/>
      <c r="J266" s="20"/>
      <c r="K266" s="21"/>
      <c r="L266" s="22"/>
      <c r="M266" s="22"/>
      <c r="N266" s="23" t="str">
        <f t="shared" ca="1" si="25"/>
        <v/>
      </c>
      <c r="O266" s="20"/>
      <c r="P266" s="20"/>
      <c r="Q266" s="24"/>
      <c r="R266" s="24"/>
      <c r="S266" s="23" t="str">
        <f t="shared" si="26"/>
        <v/>
      </c>
      <c r="T266" s="25" t="str">
        <f t="shared" si="27"/>
        <v/>
      </c>
      <c r="U266" s="26"/>
      <c r="V266" s="20"/>
      <c r="W266" s="27" t="str">
        <f t="shared" si="28"/>
        <v/>
      </c>
      <c r="X266" s="22"/>
      <c r="Y266" s="23" t="str">
        <f t="shared" ca="1" si="29"/>
        <v/>
      </c>
      <c r="Z266" s="20"/>
      <c r="AA266" s="28" t="str">
        <f>IF($F266="","",IF($M266="","Missing expiry",IF($N266&lt;0,"Expired",IF($N266&lt;=Settings!$B$2,"Urgent",IF($N266&lt;=Settings!$B$3,"Review","Active")))))</f>
        <v/>
      </c>
      <c r="AB266" s="28" t="str">
        <f>IF($F266="","",IF($X266="","",IF($Y266&lt;0,"Past EOL",IF($Y266&lt;=Settings!$B$4,"EOL soon","Supported"))))</f>
        <v/>
      </c>
      <c r="AC266" s="28" t="str">
        <f t="shared" si="30"/>
        <v/>
      </c>
      <c r="AD266" s="20"/>
      <c r="AE266" s="22"/>
      <c r="AF266" s="21"/>
      <c r="AG266" s="21"/>
    </row>
    <row r="267" spans="1:33">
      <c r="A267" s="20"/>
      <c r="B267" s="20"/>
      <c r="C267" s="44"/>
      <c r="D267" s="44"/>
      <c r="E267" s="20"/>
      <c r="F267" s="21"/>
      <c r="G267" s="21"/>
      <c r="H267" s="20"/>
      <c r="I267" s="20"/>
      <c r="J267" s="20"/>
      <c r="K267" s="21"/>
      <c r="L267" s="22"/>
      <c r="M267" s="22"/>
      <c r="N267" s="23" t="str">
        <f t="shared" ca="1" si="25"/>
        <v/>
      </c>
      <c r="O267" s="20"/>
      <c r="P267" s="20"/>
      <c r="Q267" s="24"/>
      <c r="R267" s="24"/>
      <c r="S267" s="23" t="str">
        <f t="shared" si="26"/>
        <v/>
      </c>
      <c r="T267" s="25" t="str">
        <f t="shared" si="27"/>
        <v/>
      </c>
      <c r="U267" s="26"/>
      <c r="V267" s="20"/>
      <c r="W267" s="27" t="str">
        <f t="shared" si="28"/>
        <v/>
      </c>
      <c r="X267" s="22"/>
      <c r="Y267" s="23" t="str">
        <f t="shared" ca="1" si="29"/>
        <v/>
      </c>
      <c r="Z267" s="20"/>
      <c r="AA267" s="28" t="str">
        <f>IF($F267="","",IF($M267="","Missing expiry",IF($N267&lt;0,"Expired",IF($N267&lt;=Settings!$B$2,"Urgent",IF($N267&lt;=Settings!$B$3,"Review","Active")))))</f>
        <v/>
      </c>
      <c r="AB267" s="28" t="str">
        <f>IF($F267="","",IF($X267="","",IF($Y267&lt;0,"Past EOL",IF($Y267&lt;=Settings!$B$4,"EOL soon","Supported"))))</f>
        <v/>
      </c>
      <c r="AC267" s="28" t="str">
        <f t="shared" si="30"/>
        <v/>
      </c>
      <c r="AD267" s="20"/>
      <c r="AE267" s="22"/>
      <c r="AF267" s="21"/>
      <c r="AG267" s="21"/>
    </row>
    <row r="268" spans="1:33">
      <c r="A268" s="20"/>
      <c r="B268" s="20"/>
      <c r="C268" s="44"/>
      <c r="D268" s="44"/>
      <c r="E268" s="20"/>
      <c r="F268" s="21"/>
      <c r="G268" s="21"/>
      <c r="H268" s="20"/>
      <c r="I268" s="20"/>
      <c r="J268" s="20"/>
      <c r="K268" s="21"/>
      <c r="L268" s="22"/>
      <c r="M268" s="22"/>
      <c r="N268" s="23" t="str">
        <f t="shared" ca="1" si="25"/>
        <v/>
      </c>
      <c r="O268" s="20"/>
      <c r="P268" s="20"/>
      <c r="Q268" s="24"/>
      <c r="R268" s="24"/>
      <c r="S268" s="23" t="str">
        <f t="shared" si="26"/>
        <v/>
      </c>
      <c r="T268" s="25" t="str">
        <f t="shared" si="27"/>
        <v/>
      </c>
      <c r="U268" s="26"/>
      <c r="V268" s="20"/>
      <c r="W268" s="27" t="str">
        <f t="shared" si="28"/>
        <v/>
      </c>
      <c r="X268" s="22"/>
      <c r="Y268" s="23" t="str">
        <f t="shared" ca="1" si="29"/>
        <v/>
      </c>
      <c r="Z268" s="20"/>
      <c r="AA268" s="28" t="str">
        <f>IF($F268="","",IF($M268="","Missing expiry",IF($N268&lt;0,"Expired",IF($N268&lt;=Settings!$B$2,"Urgent",IF($N268&lt;=Settings!$B$3,"Review","Active")))))</f>
        <v/>
      </c>
      <c r="AB268" s="28" t="str">
        <f>IF($F268="","",IF($X268="","",IF($Y268&lt;0,"Past EOL",IF($Y268&lt;=Settings!$B$4,"EOL soon","Supported"))))</f>
        <v/>
      </c>
      <c r="AC268" s="28" t="str">
        <f t="shared" si="30"/>
        <v/>
      </c>
      <c r="AD268" s="20"/>
      <c r="AE268" s="22"/>
      <c r="AF268" s="21"/>
      <c r="AG268" s="21"/>
    </row>
    <row r="269" spans="1:33">
      <c r="A269" s="20"/>
      <c r="B269" s="20"/>
      <c r="C269" s="44"/>
      <c r="D269" s="44"/>
      <c r="E269" s="20"/>
      <c r="F269" s="21"/>
      <c r="G269" s="21"/>
      <c r="H269" s="20"/>
      <c r="I269" s="20"/>
      <c r="J269" s="20"/>
      <c r="K269" s="21"/>
      <c r="L269" s="22"/>
      <c r="M269" s="22"/>
      <c r="N269" s="23" t="str">
        <f t="shared" ca="1" si="25"/>
        <v/>
      </c>
      <c r="O269" s="20"/>
      <c r="P269" s="20"/>
      <c r="Q269" s="24"/>
      <c r="R269" s="24"/>
      <c r="S269" s="23" t="str">
        <f t="shared" si="26"/>
        <v/>
      </c>
      <c r="T269" s="25" t="str">
        <f t="shared" si="27"/>
        <v/>
      </c>
      <c r="U269" s="26"/>
      <c r="V269" s="20"/>
      <c r="W269" s="27" t="str">
        <f t="shared" si="28"/>
        <v/>
      </c>
      <c r="X269" s="22"/>
      <c r="Y269" s="23" t="str">
        <f t="shared" ca="1" si="29"/>
        <v/>
      </c>
      <c r="Z269" s="20"/>
      <c r="AA269" s="28" t="str">
        <f>IF($F269="","",IF($M269="","Missing expiry",IF($N269&lt;0,"Expired",IF($N269&lt;=Settings!$B$2,"Urgent",IF($N269&lt;=Settings!$B$3,"Review","Active")))))</f>
        <v/>
      </c>
      <c r="AB269" s="28" t="str">
        <f>IF($F269="","",IF($X269="","",IF($Y269&lt;0,"Past EOL",IF($Y269&lt;=Settings!$B$4,"EOL soon","Supported"))))</f>
        <v/>
      </c>
      <c r="AC269" s="28" t="str">
        <f t="shared" si="30"/>
        <v/>
      </c>
      <c r="AD269" s="20"/>
      <c r="AE269" s="22"/>
      <c r="AF269" s="21"/>
      <c r="AG269" s="21"/>
    </row>
    <row r="270" spans="1:33">
      <c r="A270" s="20"/>
      <c r="B270" s="20"/>
      <c r="C270" s="44"/>
      <c r="D270" s="44"/>
      <c r="E270" s="20"/>
      <c r="F270" s="21"/>
      <c r="G270" s="21"/>
      <c r="H270" s="20"/>
      <c r="I270" s="20"/>
      <c r="J270" s="20"/>
      <c r="K270" s="21"/>
      <c r="L270" s="22"/>
      <c r="M270" s="22"/>
      <c r="N270" s="23" t="str">
        <f t="shared" ca="1" si="25"/>
        <v/>
      </c>
      <c r="O270" s="20"/>
      <c r="P270" s="20"/>
      <c r="Q270" s="24"/>
      <c r="R270" s="24"/>
      <c r="S270" s="23" t="str">
        <f t="shared" si="26"/>
        <v/>
      </c>
      <c r="T270" s="25" t="str">
        <f t="shared" si="27"/>
        <v/>
      </c>
      <c r="U270" s="26"/>
      <c r="V270" s="20"/>
      <c r="W270" s="27" t="str">
        <f t="shared" si="28"/>
        <v/>
      </c>
      <c r="X270" s="22"/>
      <c r="Y270" s="23" t="str">
        <f t="shared" ca="1" si="29"/>
        <v/>
      </c>
      <c r="Z270" s="20"/>
      <c r="AA270" s="28" t="str">
        <f>IF($F270="","",IF($M270="","Missing expiry",IF($N270&lt;0,"Expired",IF($N270&lt;=Settings!$B$2,"Urgent",IF($N270&lt;=Settings!$B$3,"Review","Active")))))</f>
        <v/>
      </c>
      <c r="AB270" s="28" t="str">
        <f>IF($F270="","",IF($X270="","",IF($Y270&lt;0,"Past EOL",IF($Y270&lt;=Settings!$B$4,"EOL soon","Supported"))))</f>
        <v/>
      </c>
      <c r="AC270" s="28" t="str">
        <f t="shared" si="30"/>
        <v/>
      </c>
      <c r="AD270" s="20"/>
      <c r="AE270" s="22"/>
      <c r="AF270" s="21"/>
      <c r="AG270" s="21"/>
    </row>
    <row r="271" spans="1:33">
      <c r="A271" s="20"/>
      <c r="B271" s="20"/>
      <c r="C271" s="44"/>
      <c r="D271" s="44"/>
      <c r="E271" s="20"/>
      <c r="F271" s="21"/>
      <c r="G271" s="21"/>
      <c r="H271" s="20"/>
      <c r="I271" s="20"/>
      <c r="J271" s="20"/>
      <c r="K271" s="21"/>
      <c r="L271" s="22"/>
      <c r="M271" s="22"/>
      <c r="N271" s="23" t="str">
        <f t="shared" ca="1" si="25"/>
        <v/>
      </c>
      <c r="O271" s="20"/>
      <c r="P271" s="20"/>
      <c r="Q271" s="24"/>
      <c r="R271" s="24"/>
      <c r="S271" s="23" t="str">
        <f t="shared" si="26"/>
        <v/>
      </c>
      <c r="T271" s="25" t="str">
        <f t="shared" si="27"/>
        <v/>
      </c>
      <c r="U271" s="26"/>
      <c r="V271" s="20"/>
      <c r="W271" s="27" t="str">
        <f t="shared" si="28"/>
        <v/>
      </c>
      <c r="X271" s="22"/>
      <c r="Y271" s="23" t="str">
        <f t="shared" ca="1" si="29"/>
        <v/>
      </c>
      <c r="Z271" s="20"/>
      <c r="AA271" s="28" t="str">
        <f>IF($F271="","",IF($M271="","Missing expiry",IF($N271&lt;0,"Expired",IF($N271&lt;=Settings!$B$2,"Urgent",IF($N271&lt;=Settings!$B$3,"Review","Active")))))</f>
        <v/>
      </c>
      <c r="AB271" s="28" t="str">
        <f>IF($F271="","",IF($X271="","",IF($Y271&lt;0,"Past EOL",IF($Y271&lt;=Settings!$B$4,"EOL soon","Supported"))))</f>
        <v/>
      </c>
      <c r="AC271" s="28" t="str">
        <f t="shared" si="30"/>
        <v/>
      </c>
      <c r="AD271" s="20"/>
      <c r="AE271" s="22"/>
      <c r="AF271" s="21"/>
      <c r="AG271" s="21"/>
    </row>
    <row r="272" spans="1:33">
      <c r="A272" s="20"/>
      <c r="B272" s="20"/>
      <c r="C272" s="44"/>
      <c r="D272" s="44"/>
      <c r="E272" s="20"/>
      <c r="F272" s="21"/>
      <c r="G272" s="21"/>
      <c r="H272" s="20"/>
      <c r="I272" s="20"/>
      <c r="J272" s="20"/>
      <c r="K272" s="21"/>
      <c r="L272" s="22"/>
      <c r="M272" s="22"/>
      <c r="N272" s="23" t="str">
        <f t="shared" ca="1" si="25"/>
        <v/>
      </c>
      <c r="O272" s="20"/>
      <c r="P272" s="20"/>
      <c r="Q272" s="24"/>
      <c r="R272" s="24"/>
      <c r="S272" s="23" t="str">
        <f t="shared" si="26"/>
        <v/>
      </c>
      <c r="T272" s="25" t="str">
        <f t="shared" si="27"/>
        <v/>
      </c>
      <c r="U272" s="26"/>
      <c r="V272" s="20"/>
      <c r="W272" s="27" t="str">
        <f t="shared" si="28"/>
        <v/>
      </c>
      <c r="X272" s="22"/>
      <c r="Y272" s="23" t="str">
        <f t="shared" ca="1" si="29"/>
        <v/>
      </c>
      <c r="Z272" s="20"/>
      <c r="AA272" s="28" t="str">
        <f>IF($F272="","",IF($M272="","Missing expiry",IF($N272&lt;0,"Expired",IF($N272&lt;=Settings!$B$2,"Urgent",IF($N272&lt;=Settings!$B$3,"Review","Active")))))</f>
        <v/>
      </c>
      <c r="AB272" s="28" t="str">
        <f>IF($F272="","",IF($X272="","",IF($Y272&lt;0,"Past EOL",IF($Y272&lt;=Settings!$B$4,"EOL soon","Supported"))))</f>
        <v/>
      </c>
      <c r="AC272" s="28" t="str">
        <f t="shared" si="30"/>
        <v/>
      </c>
      <c r="AD272" s="20"/>
      <c r="AE272" s="22"/>
      <c r="AF272" s="21"/>
      <c r="AG272" s="21"/>
    </row>
    <row r="273" spans="1:33">
      <c r="A273" s="20"/>
      <c r="B273" s="20"/>
      <c r="C273" s="44"/>
      <c r="D273" s="44"/>
      <c r="E273" s="20"/>
      <c r="F273" s="21"/>
      <c r="G273" s="21"/>
      <c r="H273" s="20"/>
      <c r="I273" s="20"/>
      <c r="J273" s="20"/>
      <c r="K273" s="21"/>
      <c r="L273" s="22"/>
      <c r="M273" s="22"/>
      <c r="N273" s="23" t="str">
        <f t="shared" ca="1" si="25"/>
        <v/>
      </c>
      <c r="O273" s="20"/>
      <c r="P273" s="20"/>
      <c r="Q273" s="24"/>
      <c r="R273" s="24"/>
      <c r="S273" s="23" t="str">
        <f t="shared" si="26"/>
        <v/>
      </c>
      <c r="T273" s="25" t="str">
        <f t="shared" si="27"/>
        <v/>
      </c>
      <c r="U273" s="26"/>
      <c r="V273" s="20"/>
      <c r="W273" s="27" t="str">
        <f t="shared" si="28"/>
        <v/>
      </c>
      <c r="X273" s="22"/>
      <c r="Y273" s="23" t="str">
        <f t="shared" ca="1" si="29"/>
        <v/>
      </c>
      <c r="Z273" s="20"/>
      <c r="AA273" s="28" t="str">
        <f>IF($F273="","",IF($M273="","Missing expiry",IF($N273&lt;0,"Expired",IF($N273&lt;=Settings!$B$2,"Urgent",IF($N273&lt;=Settings!$B$3,"Review","Active")))))</f>
        <v/>
      </c>
      <c r="AB273" s="28" t="str">
        <f>IF($F273="","",IF($X273="","",IF($Y273&lt;0,"Past EOL",IF($Y273&lt;=Settings!$B$4,"EOL soon","Supported"))))</f>
        <v/>
      </c>
      <c r="AC273" s="28" t="str">
        <f t="shared" si="30"/>
        <v/>
      </c>
      <c r="AD273" s="20"/>
      <c r="AE273" s="22"/>
      <c r="AF273" s="21"/>
      <c r="AG273" s="21"/>
    </row>
    <row r="274" spans="1:33">
      <c r="A274" s="20"/>
      <c r="B274" s="20"/>
      <c r="C274" s="44"/>
      <c r="D274" s="44"/>
      <c r="E274" s="20"/>
      <c r="F274" s="21"/>
      <c r="G274" s="21"/>
      <c r="H274" s="20"/>
      <c r="I274" s="20"/>
      <c r="J274" s="20"/>
      <c r="K274" s="21"/>
      <c r="L274" s="22"/>
      <c r="M274" s="22"/>
      <c r="N274" s="23" t="str">
        <f t="shared" ca="1" si="25"/>
        <v/>
      </c>
      <c r="O274" s="20"/>
      <c r="P274" s="20"/>
      <c r="Q274" s="24"/>
      <c r="R274" s="24"/>
      <c r="S274" s="23" t="str">
        <f t="shared" si="26"/>
        <v/>
      </c>
      <c r="T274" s="25" t="str">
        <f t="shared" si="27"/>
        <v/>
      </c>
      <c r="U274" s="26"/>
      <c r="V274" s="20"/>
      <c r="W274" s="27" t="str">
        <f t="shared" si="28"/>
        <v/>
      </c>
      <c r="X274" s="22"/>
      <c r="Y274" s="23" t="str">
        <f t="shared" ca="1" si="29"/>
        <v/>
      </c>
      <c r="Z274" s="20"/>
      <c r="AA274" s="28" t="str">
        <f>IF($F274="","",IF($M274="","Missing expiry",IF($N274&lt;0,"Expired",IF($N274&lt;=Settings!$B$2,"Urgent",IF($N274&lt;=Settings!$B$3,"Review","Active")))))</f>
        <v/>
      </c>
      <c r="AB274" s="28" t="str">
        <f>IF($F274="","",IF($X274="","",IF($Y274&lt;0,"Past EOL",IF($Y274&lt;=Settings!$B$4,"EOL soon","Supported"))))</f>
        <v/>
      </c>
      <c r="AC274" s="28" t="str">
        <f t="shared" si="30"/>
        <v/>
      </c>
      <c r="AD274" s="20"/>
      <c r="AE274" s="22"/>
      <c r="AF274" s="21"/>
      <c r="AG274" s="21"/>
    </row>
    <row r="275" spans="1:33">
      <c r="A275" s="20"/>
      <c r="B275" s="20"/>
      <c r="C275" s="44"/>
      <c r="D275" s="44"/>
      <c r="E275" s="20"/>
      <c r="F275" s="21"/>
      <c r="G275" s="21"/>
      <c r="H275" s="20"/>
      <c r="I275" s="20"/>
      <c r="J275" s="20"/>
      <c r="K275" s="21"/>
      <c r="L275" s="22"/>
      <c r="M275" s="22"/>
      <c r="N275" s="23" t="str">
        <f t="shared" ca="1" si="25"/>
        <v/>
      </c>
      <c r="O275" s="20"/>
      <c r="P275" s="20"/>
      <c r="Q275" s="24"/>
      <c r="R275" s="24"/>
      <c r="S275" s="23" t="str">
        <f t="shared" si="26"/>
        <v/>
      </c>
      <c r="T275" s="25" t="str">
        <f t="shared" si="27"/>
        <v/>
      </c>
      <c r="U275" s="26"/>
      <c r="V275" s="20"/>
      <c r="W275" s="27" t="str">
        <f t="shared" si="28"/>
        <v/>
      </c>
      <c r="X275" s="22"/>
      <c r="Y275" s="23" t="str">
        <f t="shared" ca="1" si="29"/>
        <v/>
      </c>
      <c r="Z275" s="20"/>
      <c r="AA275" s="28" t="str">
        <f>IF($F275="","",IF($M275="","Missing expiry",IF($N275&lt;0,"Expired",IF($N275&lt;=Settings!$B$2,"Urgent",IF($N275&lt;=Settings!$B$3,"Review","Active")))))</f>
        <v/>
      </c>
      <c r="AB275" s="28" t="str">
        <f>IF($F275="","",IF($X275="","",IF($Y275&lt;0,"Past EOL",IF($Y275&lt;=Settings!$B$4,"EOL soon","Supported"))))</f>
        <v/>
      </c>
      <c r="AC275" s="28" t="str">
        <f t="shared" si="30"/>
        <v/>
      </c>
      <c r="AD275" s="20"/>
      <c r="AE275" s="22"/>
      <c r="AF275" s="21"/>
      <c r="AG275" s="21"/>
    </row>
    <row r="276" spans="1:33">
      <c r="A276" s="20"/>
      <c r="B276" s="20"/>
      <c r="C276" s="44"/>
      <c r="D276" s="44"/>
      <c r="E276" s="20"/>
      <c r="F276" s="21"/>
      <c r="G276" s="21"/>
      <c r="H276" s="20"/>
      <c r="I276" s="20"/>
      <c r="J276" s="20"/>
      <c r="K276" s="21"/>
      <c r="L276" s="22"/>
      <c r="M276" s="22"/>
      <c r="N276" s="23" t="str">
        <f t="shared" ca="1" si="25"/>
        <v/>
      </c>
      <c r="O276" s="20"/>
      <c r="P276" s="20"/>
      <c r="Q276" s="24"/>
      <c r="R276" s="24"/>
      <c r="S276" s="23" t="str">
        <f t="shared" si="26"/>
        <v/>
      </c>
      <c r="T276" s="25" t="str">
        <f t="shared" si="27"/>
        <v/>
      </c>
      <c r="U276" s="26"/>
      <c r="V276" s="20"/>
      <c r="W276" s="27" t="str">
        <f t="shared" si="28"/>
        <v/>
      </c>
      <c r="X276" s="22"/>
      <c r="Y276" s="23" t="str">
        <f t="shared" ca="1" si="29"/>
        <v/>
      </c>
      <c r="Z276" s="20"/>
      <c r="AA276" s="28" t="str">
        <f>IF($F276="","",IF($M276="","Missing expiry",IF($N276&lt;0,"Expired",IF($N276&lt;=Settings!$B$2,"Urgent",IF($N276&lt;=Settings!$B$3,"Review","Active")))))</f>
        <v/>
      </c>
      <c r="AB276" s="28" t="str">
        <f>IF($F276="","",IF($X276="","",IF($Y276&lt;0,"Past EOL",IF($Y276&lt;=Settings!$B$4,"EOL soon","Supported"))))</f>
        <v/>
      </c>
      <c r="AC276" s="28" t="str">
        <f t="shared" si="30"/>
        <v/>
      </c>
      <c r="AD276" s="20"/>
      <c r="AE276" s="22"/>
      <c r="AF276" s="21"/>
      <c r="AG276" s="21"/>
    </row>
    <row r="277" spans="1:33">
      <c r="A277" s="20"/>
      <c r="B277" s="20"/>
      <c r="C277" s="44"/>
      <c r="D277" s="44"/>
      <c r="E277" s="20"/>
      <c r="F277" s="21"/>
      <c r="G277" s="21"/>
      <c r="H277" s="20"/>
      <c r="I277" s="20"/>
      <c r="J277" s="20"/>
      <c r="K277" s="21"/>
      <c r="L277" s="22"/>
      <c r="M277" s="22"/>
      <c r="N277" s="23" t="str">
        <f t="shared" ca="1" si="25"/>
        <v/>
      </c>
      <c r="O277" s="20"/>
      <c r="P277" s="20"/>
      <c r="Q277" s="24"/>
      <c r="R277" s="24"/>
      <c r="S277" s="23" t="str">
        <f t="shared" si="26"/>
        <v/>
      </c>
      <c r="T277" s="25" t="str">
        <f t="shared" si="27"/>
        <v/>
      </c>
      <c r="U277" s="26"/>
      <c r="V277" s="20"/>
      <c r="W277" s="27" t="str">
        <f t="shared" si="28"/>
        <v/>
      </c>
      <c r="X277" s="22"/>
      <c r="Y277" s="23" t="str">
        <f t="shared" ca="1" si="29"/>
        <v/>
      </c>
      <c r="Z277" s="20"/>
      <c r="AA277" s="28" t="str">
        <f>IF($F277="","",IF($M277="","Missing expiry",IF($N277&lt;0,"Expired",IF($N277&lt;=Settings!$B$2,"Urgent",IF($N277&lt;=Settings!$B$3,"Review","Active")))))</f>
        <v/>
      </c>
      <c r="AB277" s="28" t="str">
        <f>IF($F277="","",IF($X277="","",IF($Y277&lt;0,"Past EOL",IF($Y277&lt;=Settings!$B$4,"EOL soon","Supported"))))</f>
        <v/>
      </c>
      <c r="AC277" s="28" t="str">
        <f t="shared" si="30"/>
        <v/>
      </c>
      <c r="AD277" s="20"/>
      <c r="AE277" s="22"/>
      <c r="AF277" s="21"/>
      <c r="AG277" s="21"/>
    </row>
    <row r="278" spans="1:33">
      <c r="A278" s="20"/>
      <c r="B278" s="20"/>
      <c r="C278" s="44"/>
      <c r="D278" s="44"/>
      <c r="E278" s="20"/>
      <c r="F278" s="21"/>
      <c r="G278" s="21"/>
      <c r="H278" s="20"/>
      <c r="I278" s="20"/>
      <c r="J278" s="20"/>
      <c r="K278" s="21"/>
      <c r="L278" s="22"/>
      <c r="M278" s="22"/>
      <c r="N278" s="23" t="str">
        <f t="shared" ca="1" si="25"/>
        <v/>
      </c>
      <c r="O278" s="20"/>
      <c r="P278" s="20"/>
      <c r="Q278" s="24"/>
      <c r="R278" s="24"/>
      <c r="S278" s="23" t="str">
        <f t="shared" si="26"/>
        <v/>
      </c>
      <c r="T278" s="25" t="str">
        <f t="shared" si="27"/>
        <v/>
      </c>
      <c r="U278" s="26"/>
      <c r="V278" s="20"/>
      <c r="W278" s="27" t="str">
        <f t="shared" si="28"/>
        <v/>
      </c>
      <c r="X278" s="22"/>
      <c r="Y278" s="23" t="str">
        <f t="shared" ca="1" si="29"/>
        <v/>
      </c>
      <c r="Z278" s="20"/>
      <c r="AA278" s="28" t="str">
        <f>IF($F278="","",IF($M278="","Missing expiry",IF($N278&lt;0,"Expired",IF($N278&lt;=Settings!$B$2,"Urgent",IF($N278&lt;=Settings!$B$3,"Review","Active")))))</f>
        <v/>
      </c>
      <c r="AB278" s="28" t="str">
        <f>IF($F278="","",IF($X278="","",IF($Y278&lt;0,"Past EOL",IF($Y278&lt;=Settings!$B$4,"EOL soon","Supported"))))</f>
        <v/>
      </c>
      <c r="AC278" s="28" t="str">
        <f t="shared" si="30"/>
        <v/>
      </c>
      <c r="AD278" s="20"/>
      <c r="AE278" s="22"/>
      <c r="AF278" s="21"/>
      <c r="AG278" s="21"/>
    </row>
    <row r="279" spans="1:33">
      <c r="A279" s="20"/>
      <c r="B279" s="20"/>
      <c r="C279" s="44"/>
      <c r="D279" s="44"/>
      <c r="E279" s="20"/>
      <c r="F279" s="21"/>
      <c r="G279" s="21"/>
      <c r="H279" s="20"/>
      <c r="I279" s="20"/>
      <c r="J279" s="20"/>
      <c r="K279" s="21"/>
      <c r="L279" s="22"/>
      <c r="M279" s="22"/>
      <c r="N279" s="23" t="str">
        <f t="shared" ca="1" si="25"/>
        <v/>
      </c>
      <c r="O279" s="20"/>
      <c r="P279" s="20"/>
      <c r="Q279" s="24"/>
      <c r="R279" s="24"/>
      <c r="S279" s="23" t="str">
        <f t="shared" si="26"/>
        <v/>
      </c>
      <c r="T279" s="25" t="str">
        <f t="shared" si="27"/>
        <v/>
      </c>
      <c r="U279" s="26"/>
      <c r="V279" s="20"/>
      <c r="W279" s="27" t="str">
        <f t="shared" si="28"/>
        <v/>
      </c>
      <c r="X279" s="22"/>
      <c r="Y279" s="23" t="str">
        <f t="shared" ca="1" si="29"/>
        <v/>
      </c>
      <c r="Z279" s="20"/>
      <c r="AA279" s="28" t="str">
        <f>IF($F279="","",IF($M279="","Missing expiry",IF($N279&lt;0,"Expired",IF($N279&lt;=Settings!$B$2,"Urgent",IF($N279&lt;=Settings!$B$3,"Review","Active")))))</f>
        <v/>
      </c>
      <c r="AB279" s="28" t="str">
        <f>IF($F279="","",IF($X279="","",IF($Y279&lt;0,"Past EOL",IF($Y279&lt;=Settings!$B$4,"EOL soon","Supported"))))</f>
        <v/>
      </c>
      <c r="AC279" s="28" t="str">
        <f t="shared" si="30"/>
        <v/>
      </c>
      <c r="AD279" s="20"/>
      <c r="AE279" s="22"/>
      <c r="AF279" s="21"/>
      <c r="AG279" s="21"/>
    </row>
    <row r="280" spans="1:33">
      <c r="A280" s="20"/>
      <c r="B280" s="20"/>
      <c r="C280" s="44"/>
      <c r="D280" s="44"/>
      <c r="E280" s="20"/>
      <c r="F280" s="21"/>
      <c r="G280" s="21"/>
      <c r="H280" s="20"/>
      <c r="I280" s="20"/>
      <c r="J280" s="20"/>
      <c r="K280" s="21"/>
      <c r="L280" s="22"/>
      <c r="M280" s="22"/>
      <c r="N280" s="23" t="str">
        <f t="shared" ca="1" si="25"/>
        <v/>
      </c>
      <c r="O280" s="20"/>
      <c r="P280" s="20"/>
      <c r="Q280" s="24"/>
      <c r="R280" s="24"/>
      <c r="S280" s="23" t="str">
        <f t="shared" si="26"/>
        <v/>
      </c>
      <c r="T280" s="25" t="str">
        <f t="shared" si="27"/>
        <v/>
      </c>
      <c r="U280" s="26"/>
      <c r="V280" s="20"/>
      <c r="W280" s="27" t="str">
        <f t="shared" si="28"/>
        <v/>
      </c>
      <c r="X280" s="22"/>
      <c r="Y280" s="23" t="str">
        <f t="shared" ca="1" si="29"/>
        <v/>
      </c>
      <c r="Z280" s="20"/>
      <c r="AA280" s="28" t="str">
        <f>IF($F280="","",IF($M280="","Missing expiry",IF($N280&lt;0,"Expired",IF($N280&lt;=Settings!$B$2,"Urgent",IF($N280&lt;=Settings!$B$3,"Review","Active")))))</f>
        <v/>
      </c>
      <c r="AB280" s="28" t="str">
        <f>IF($F280="","",IF($X280="","",IF($Y280&lt;0,"Past EOL",IF($Y280&lt;=Settings!$B$4,"EOL soon","Supported"))))</f>
        <v/>
      </c>
      <c r="AC280" s="28" t="str">
        <f t="shared" si="30"/>
        <v/>
      </c>
      <c r="AD280" s="20"/>
      <c r="AE280" s="22"/>
      <c r="AF280" s="21"/>
      <c r="AG280" s="21"/>
    </row>
    <row r="281" spans="1:33">
      <c r="A281" s="20"/>
      <c r="B281" s="20"/>
      <c r="C281" s="44"/>
      <c r="D281" s="44"/>
      <c r="E281" s="20"/>
      <c r="F281" s="21"/>
      <c r="G281" s="21"/>
      <c r="H281" s="20"/>
      <c r="I281" s="20"/>
      <c r="J281" s="20"/>
      <c r="K281" s="21"/>
      <c r="L281" s="22"/>
      <c r="M281" s="22"/>
      <c r="N281" s="23" t="str">
        <f t="shared" ca="1" si="25"/>
        <v/>
      </c>
      <c r="O281" s="20"/>
      <c r="P281" s="20"/>
      <c r="Q281" s="24"/>
      <c r="R281" s="24"/>
      <c r="S281" s="23" t="str">
        <f t="shared" si="26"/>
        <v/>
      </c>
      <c r="T281" s="25" t="str">
        <f t="shared" si="27"/>
        <v/>
      </c>
      <c r="U281" s="26"/>
      <c r="V281" s="20"/>
      <c r="W281" s="27" t="str">
        <f t="shared" si="28"/>
        <v/>
      </c>
      <c r="X281" s="22"/>
      <c r="Y281" s="23" t="str">
        <f t="shared" ca="1" si="29"/>
        <v/>
      </c>
      <c r="Z281" s="20"/>
      <c r="AA281" s="28" t="str">
        <f>IF($F281="","",IF($M281="","Missing expiry",IF($N281&lt;0,"Expired",IF($N281&lt;=Settings!$B$2,"Urgent",IF($N281&lt;=Settings!$B$3,"Review","Active")))))</f>
        <v/>
      </c>
      <c r="AB281" s="28" t="str">
        <f>IF($F281="","",IF($X281="","",IF($Y281&lt;0,"Past EOL",IF($Y281&lt;=Settings!$B$4,"EOL soon","Supported"))))</f>
        <v/>
      </c>
      <c r="AC281" s="28" t="str">
        <f t="shared" si="30"/>
        <v/>
      </c>
      <c r="AD281" s="20"/>
      <c r="AE281" s="22"/>
      <c r="AF281" s="21"/>
      <c r="AG281" s="21"/>
    </row>
    <row r="282" spans="1:33">
      <c r="A282" s="20"/>
      <c r="B282" s="20"/>
      <c r="C282" s="44"/>
      <c r="D282" s="44"/>
      <c r="E282" s="20"/>
      <c r="F282" s="21"/>
      <c r="G282" s="21"/>
      <c r="H282" s="20"/>
      <c r="I282" s="20"/>
      <c r="J282" s="20"/>
      <c r="K282" s="21"/>
      <c r="L282" s="22"/>
      <c r="M282" s="22"/>
      <c r="N282" s="23" t="str">
        <f t="shared" ca="1" si="25"/>
        <v/>
      </c>
      <c r="O282" s="20"/>
      <c r="P282" s="20"/>
      <c r="Q282" s="24"/>
      <c r="R282" s="24"/>
      <c r="S282" s="23" t="str">
        <f t="shared" si="26"/>
        <v/>
      </c>
      <c r="T282" s="25" t="str">
        <f t="shared" si="27"/>
        <v/>
      </c>
      <c r="U282" s="26"/>
      <c r="V282" s="20"/>
      <c r="W282" s="27" t="str">
        <f t="shared" si="28"/>
        <v/>
      </c>
      <c r="X282" s="22"/>
      <c r="Y282" s="23" t="str">
        <f t="shared" ca="1" si="29"/>
        <v/>
      </c>
      <c r="Z282" s="20"/>
      <c r="AA282" s="28" t="str">
        <f>IF($F282="","",IF($M282="","Missing expiry",IF($N282&lt;0,"Expired",IF($N282&lt;=Settings!$B$2,"Urgent",IF($N282&lt;=Settings!$B$3,"Review","Active")))))</f>
        <v/>
      </c>
      <c r="AB282" s="28" t="str">
        <f>IF($F282="","",IF($X282="","",IF($Y282&lt;0,"Past EOL",IF($Y282&lt;=Settings!$B$4,"EOL soon","Supported"))))</f>
        <v/>
      </c>
      <c r="AC282" s="28" t="str">
        <f t="shared" si="30"/>
        <v/>
      </c>
      <c r="AD282" s="20"/>
      <c r="AE282" s="22"/>
      <c r="AF282" s="21"/>
      <c r="AG282" s="21"/>
    </row>
    <row r="283" spans="1:33">
      <c r="A283" s="20"/>
      <c r="B283" s="20"/>
      <c r="C283" s="44"/>
      <c r="D283" s="44"/>
      <c r="E283" s="20"/>
      <c r="F283" s="21"/>
      <c r="G283" s="21"/>
      <c r="H283" s="20"/>
      <c r="I283" s="20"/>
      <c r="J283" s="20"/>
      <c r="K283" s="21"/>
      <c r="L283" s="22"/>
      <c r="M283" s="22"/>
      <c r="N283" s="23" t="str">
        <f t="shared" ca="1" si="25"/>
        <v/>
      </c>
      <c r="O283" s="20"/>
      <c r="P283" s="20"/>
      <c r="Q283" s="24"/>
      <c r="R283" s="24"/>
      <c r="S283" s="23" t="str">
        <f t="shared" si="26"/>
        <v/>
      </c>
      <c r="T283" s="25" t="str">
        <f t="shared" si="27"/>
        <v/>
      </c>
      <c r="U283" s="26"/>
      <c r="V283" s="20"/>
      <c r="W283" s="27" t="str">
        <f t="shared" si="28"/>
        <v/>
      </c>
      <c r="X283" s="22"/>
      <c r="Y283" s="23" t="str">
        <f t="shared" ca="1" si="29"/>
        <v/>
      </c>
      <c r="Z283" s="20"/>
      <c r="AA283" s="28" t="str">
        <f>IF($F283="","",IF($M283="","Missing expiry",IF($N283&lt;0,"Expired",IF($N283&lt;=Settings!$B$2,"Urgent",IF($N283&lt;=Settings!$B$3,"Review","Active")))))</f>
        <v/>
      </c>
      <c r="AB283" s="28" t="str">
        <f>IF($F283="","",IF($X283="","",IF($Y283&lt;0,"Past EOL",IF($Y283&lt;=Settings!$B$4,"EOL soon","Supported"))))</f>
        <v/>
      </c>
      <c r="AC283" s="28" t="str">
        <f t="shared" si="30"/>
        <v/>
      </c>
      <c r="AD283" s="20"/>
      <c r="AE283" s="22"/>
      <c r="AF283" s="21"/>
      <c r="AG283" s="21"/>
    </row>
    <row r="284" spans="1:33">
      <c r="A284" s="20"/>
      <c r="B284" s="20"/>
      <c r="C284" s="44"/>
      <c r="D284" s="44"/>
      <c r="E284" s="20"/>
      <c r="F284" s="21"/>
      <c r="G284" s="21"/>
      <c r="H284" s="20"/>
      <c r="I284" s="20"/>
      <c r="J284" s="20"/>
      <c r="K284" s="21"/>
      <c r="L284" s="22"/>
      <c r="M284" s="22"/>
      <c r="N284" s="23" t="str">
        <f t="shared" ca="1" si="25"/>
        <v/>
      </c>
      <c r="O284" s="20"/>
      <c r="P284" s="20"/>
      <c r="Q284" s="24"/>
      <c r="R284" s="24"/>
      <c r="S284" s="23" t="str">
        <f t="shared" si="26"/>
        <v/>
      </c>
      <c r="T284" s="25" t="str">
        <f t="shared" si="27"/>
        <v/>
      </c>
      <c r="U284" s="26"/>
      <c r="V284" s="20"/>
      <c r="W284" s="27" t="str">
        <f t="shared" si="28"/>
        <v/>
      </c>
      <c r="X284" s="22"/>
      <c r="Y284" s="23" t="str">
        <f t="shared" ca="1" si="29"/>
        <v/>
      </c>
      <c r="Z284" s="20"/>
      <c r="AA284" s="28" t="str">
        <f>IF($F284="","",IF($M284="","Missing expiry",IF($N284&lt;0,"Expired",IF($N284&lt;=Settings!$B$2,"Urgent",IF($N284&lt;=Settings!$B$3,"Review","Active")))))</f>
        <v/>
      </c>
      <c r="AB284" s="28" t="str">
        <f>IF($F284="","",IF($X284="","",IF($Y284&lt;0,"Past EOL",IF($Y284&lt;=Settings!$B$4,"EOL soon","Supported"))))</f>
        <v/>
      </c>
      <c r="AC284" s="28" t="str">
        <f t="shared" si="30"/>
        <v/>
      </c>
      <c r="AD284" s="20"/>
      <c r="AE284" s="22"/>
      <c r="AF284" s="21"/>
      <c r="AG284" s="21"/>
    </row>
    <row r="285" spans="1:33">
      <c r="A285" s="20"/>
      <c r="B285" s="20"/>
      <c r="C285" s="44"/>
      <c r="D285" s="44"/>
      <c r="E285" s="20"/>
      <c r="F285" s="21"/>
      <c r="G285" s="21"/>
      <c r="H285" s="20"/>
      <c r="I285" s="20"/>
      <c r="J285" s="20"/>
      <c r="K285" s="21"/>
      <c r="L285" s="22"/>
      <c r="M285" s="22"/>
      <c r="N285" s="23" t="str">
        <f t="shared" ca="1" si="25"/>
        <v/>
      </c>
      <c r="O285" s="20"/>
      <c r="P285" s="20"/>
      <c r="Q285" s="24"/>
      <c r="R285" s="24"/>
      <c r="S285" s="23" t="str">
        <f t="shared" si="26"/>
        <v/>
      </c>
      <c r="T285" s="25" t="str">
        <f t="shared" si="27"/>
        <v/>
      </c>
      <c r="U285" s="26"/>
      <c r="V285" s="20"/>
      <c r="W285" s="27" t="str">
        <f t="shared" si="28"/>
        <v/>
      </c>
      <c r="X285" s="22"/>
      <c r="Y285" s="23" t="str">
        <f t="shared" ca="1" si="29"/>
        <v/>
      </c>
      <c r="Z285" s="20"/>
      <c r="AA285" s="28" t="str">
        <f>IF($F285="","",IF($M285="","Missing expiry",IF($N285&lt;0,"Expired",IF($N285&lt;=Settings!$B$2,"Urgent",IF($N285&lt;=Settings!$B$3,"Review","Active")))))</f>
        <v/>
      </c>
      <c r="AB285" s="28" t="str">
        <f>IF($F285="","",IF($X285="","",IF($Y285&lt;0,"Past EOL",IF($Y285&lt;=Settings!$B$4,"EOL soon","Supported"))))</f>
        <v/>
      </c>
      <c r="AC285" s="28" t="str">
        <f t="shared" si="30"/>
        <v/>
      </c>
      <c r="AD285" s="20"/>
      <c r="AE285" s="22"/>
      <c r="AF285" s="21"/>
      <c r="AG285" s="21"/>
    </row>
    <row r="286" spans="1:33">
      <c r="A286" s="20"/>
      <c r="B286" s="20"/>
      <c r="C286" s="44"/>
      <c r="D286" s="44"/>
      <c r="E286" s="20"/>
      <c r="F286" s="21"/>
      <c r="G286" s="21"/>
      <c r="H286" s="20"/>
      <c r="I286" s="20"/>
      <c r="J286" s="20"/>
      <c r="K286" s="21"/>
      <c r="L286" s="22"/>
      <c r="M286" s="22"/>
      <c r="N286" s="23" t="str">
        <f t="shared" ca="1" si="25"/>
        <v/>
      </c>
      <c r="O286" s="20"/>
      <c r="P286" s="20"/>
      <c r="Q286" s="24"/>
      <c r="R286" s="24"/>
      <c r="S286" s="23" t="str">
        <f t="shared" si="26"/>
        <v/>
      </c>
      <c r="T286" s="25" t="str">
        <f t="shared" si="27"/>
        <v/>
      </c>
      <c r="U286" s="26"/>
      <c r="V286" s="20"/>
      <c r="W286" s="27" t="str">
        <f t="shared" si="28"/>
        <v/>
      </c>
      <c r="X286" s="22"/>
      <c r="Y286" s="23" t="str">
        <f t="shared" ca="1" si="29"/>
        <v/>
      </c>
      <c r="Z286" s="20"/>
      <c r="AA286" s="28" t="str">
        <f>IF($F286="","",IF($M286="","Missing expiry",IF($N286&lt;0,"Expired",IF($N286&lt;=Settings!$B$2,"Urgent",IF($N286&lt;=Settings!$B$3,"Review","Active")))))</f>
        <v/>
      </c>
      <c r="AB286" s="28" t="str">
        <f>IF($F286="","",IF($X286="","",IF($Y286&lt;0,"Past EOL",IF($Y286&lt;=Settings!$B$4,"EOL soon","Supported"))))</f>
        <v/>
      </c>
      <c r="AC286" s="28" t="str">
        <f t="shared" si="30"/>
        <v/>
      </c>
      <c r="AD286" s="20"/>
      <c r="AE286" s="22"/>
      <c r="AF286" s="21"/>
      <c r="AG286" s="21"/>
    </row>
    <row r="287" spans="1:33">
      <c r="A287" s="20"/>
      <c r="B287" s="20"/>
      <c r="C287" s="44"/>
      <c r="D287" s="44"/>
      <c r="E287" s="20"/>
      <c r="F287" s="21"/>
      <c r="G287" s="21"/>
      <c r="H287" s="20"/>
      <c r="I287" s="20"/>
      <c r="J287" s="20"/>
      <c r="K287" s="21"/>
      <c r="L287" s="22"/>
      <c r="M287" s="22"/>
      <c r="N287" s="23" t="str">
        <f t="shared" ca="1" si="25"/>
        <v/>
      </c>
      <c r="O287" s="20"/>
      <c r="P287" s="20"/>
      <c r="Q287" s="24"/>
      <c r="R287" s="24"/>
      <c r="S287" s="23" t="str">
        <f t="shared" si="26"/>
        <v/>
      </c>
      <c r="T287" s="25" t="str">
        <f t="shared" si="27"/>
        <v/>
      </c>
      <c r="U287" s="26"/>
      <c r="V287" s="20"/>
      <c r="W287" s="27" t="str">
        <f t="shared" si="28"/>
        <v/>
      </c>
      <c r="X287" s="22"/>
      <c r="Y287" s="23" t="str">
        <f t="shared" ca="1" si="29"/>
        <v/>
      </c>
      <c r="Z287" s="20"/>
      <c r="AA287" s="28" t="str">
        <f>IF($F287="","",IF($M287="","Missing expiry",IF($N287&lt;0,"Expired",IF($N287&lt;=Settings!$B$2,"Urgent",IF($N287&lt;=Settings!$B$3,"Review","Active")))))</f>
        <v/>
      </c>
      <c r="AB287" s="28" t="str">
        <f>IF($F287="","",IF($X287="","",IF($Y287&lt;0,"Past EOL",IF($Y287&lt;=Settings!$B$4,"EOL soon","Supported"))))</f>
        <v/>
      </c>
      <c r="AC287" s="28" t="str">
        <f t="shared" si="30"/>
        <v/>
      </c>
      <c r="AD287" s="20"/>
      <c r="AE287" s="22"/>
      <c r="AF287" s="21"/>
      <c r="AG287" s="21"/>
    </row>
    <row r="288" spans="1:33">
      <c r="A288" s="20"/>
      <c r="B288" s="20"/>
      <c r="C288" s="44"/>
      <c r="D288" s="44"/>
      <c r="E288" s="20"/>
      <c r="F288" s="21"/>
      <c r="G288" s="21"/>
      <c r="H288" s="20"/>
      <c r="I288" s="20"/>
      <c r="J288" s="20"/>
      <c r="K288" s="21"/>
      <c r="L288" s="22"/>
      <c r="M288" s="22"/>
      <c r="N288" s="23" t="str">
        <f t="shared" ca="1" si="25"/>
        <v/>
      </c>
      <c r="O288" s="20"/>
      <c r="P288" s="20"/>
      <c r="Q288" s="24"/>
      <c r="R288" s="24"/>
      <c r="S288" s="23" t="str">
        <f t="shared" si="26"/>
        <v/>
      </c>
      <c r="T288" s="25" t="str">
        <f t="shared" si="27"/>
        <v/>
      </c>
      <c r="U288" s="26"/>
      <c r="V288" s="20"/>
      <c r="W288" s="27" t="str">
        <f t="shared" si="28"/>
        <v/>
      </c>
      <c r="X288" s="22"/>
      <c r="Y288" s="23" t="str">
        <f t="shared" ca="1" si="29"/>
        <v/>
      </c>
      <c r="Z288" s="20"/>
      <c r="AA288" s="28" t="str">
        <f>IF($F288="","",IF($M288="","Missing expiry",IF($N288&lt;0,"Expired",IF($N288&lt;=Settings!$B$2,"Urgent",IF($N288&lt;=Settings!$B$3,"Review","Active")))))</f>
        <v/>
      </c>
      <c r="AB288" s="28" t="str">
        <f>IF($F288="","",IF($X288="","",IF($Y288&lt;0,"Past EOL",IF($Y288&lt;=Settings!$B$4,"EOL soon","Supported"))))</f>
        <v/>
      </c>
      <c r="AC288" s="28" t="str">
        <f t="shared" si="30"/>
        <v/>
      </c>
      <c r="AD288" s="20"/>
      <c r="AE288" s="22"/>
      <c r="AF288" s="21"/>
      <c r="AG288" s="21"/>
    </row>
    <row r="289" spans="1:33">
      <c r="A289" s="20"/>
      <c r="B289" s="20"/>
      <c r="C289" s="44"/>
      <c r="D289" s="44"/>
      <c r="E289" s="20"/>
      <c r="F289" s="21"/>
      <c r="G289" s="21"/>
      <c r="H289" s="20"/>
      <c r="I289" s="20"/>
      <c r="J289" s="20"/>
      <c r="K289" s="21"/>
      <c r="L289" s="22"/>
      <c r="M289" s="22"/>
      <c r="N289" s="23" t="str">
        <f t="shared" ca="1" si="25"/>
        <v/>
      </c>
      <c r="O289" s="20"/>
      <c r="P289" s="20"/>
      <c r="Q289" s="24"/>
      <c r="R289" s="24"/>
      <c r="S289" s="23" t="str">
        <f t="shared" si="26"/>
        <v/>
      </c>
      <c r="T289" s="25" t="str">
        <f t="shared" si="27"/>
        <v/>
      </c>
      <c r="U289" s="26"/>
      <c r="V289" s="20"/>
      <c r="W289" s="27" t="str">
        <f t="shared" si="28"/>
        <v/>
      </c>
      <c r="X289" s="22"/>
      <c r="Y289" s="23" t="str">
        <f t="shared" ca="1" si="29"/>
        <v/>
      </c>
      <c r="Z289" s="20"/>
      <c r="AA289" s="28" t="str">
        <f>IF($F289="","",IF($M289="","Missing expiry",IF($N289&lt;0,"Expired",IF($N289&lt;=Settings!$B$2,"Urgent",IF($N289&lt;=Settings!$B$3,"Review","Active")))))</f>
        <v/>
      </c>
      <c r="AB289" s="28" t="str">
        <f>IF($F289="","",IF($X289="","",IF($Y289&lt;0,"Past EOL",IF($Y289&lt;=Settings!$B$4,"EOL soon","Supported"))))</f>
        <v/>
      </c>
      <c r="AC289" s="28" t="str">
        <f t="shared" si="30"/>
        <v/>
      </c>
      <c r="AD289" s="20"/>
      <c r="AE289" s="22"/>
      <c r="AF289" s="21"/>
      <c r="AG289" s="21"/>
    </row>
    <row r="290" spans="1:33">
      <c r="A290" s="20"/>
      <c r="B290" s="20"/>
      <c r="C290" s="44"/>
      <c r="D290" s="44"/>
      <c r="E290" s="20"/>
      <c r="F290" s="21"/>
      <c r="G290" s="21"/>
      <c r="H290" s="20"/>
      <c r="I290" s="20"/>
      <c r="J290" s="20"/>
      <c r="K290" s="21"/>
      <c r="L290" s="22"/>
      <c r="M290" s="22"/>
      <c r="N290" s="23" t="str">
        <f t="shared" ca="1" si="25"/>
        <v/>
      </c>
      <c r="O290" s="20"/>
      <c r="P290" s="20"/>
      <c r="Q290" s="24"/>
      <c r="R290" s="24"/>
      <c r="S290" s="23" t="str">
        <f t="shared" si="26"/>
        <v/>
      </c>
      <c r="T290" s="25" t="str">
        <f t="shared" si="27"/>
        <v/>
      </c>
      <c r="U290" s="26"/>
      <c r="V290" s="20"/>
      <c r="W290" s="27" t="str">
        <f t="shared" si="28"/>
        <v/>
      </c>
      <c r="X290" s="22"/>
      <c r="Y290" s="23" t="str">
        <f t="shared" ca="1" si="29"/>
        <v/>
      </c>
      <c r="Z290" s="20"/>
      <c r="AA290" s="28" t="str">
        <f>IF($F290="","",IF($M290="","Missing expiry",IF($N290&lt;0,"Expired",IF($N290&lt;=Settings!$B$2,"Urgent",IF($N290&lt;=Settings!$B$3,"Review","Active")))))</f>
        <v/>
      </c>
      <c r="AB290" s="28" t="str">
        <f>IF($F290="","",IF($X290="","",IF($Y290&lt;0,"Past EOL",IF($Y290&lt;=Settings!$B$4,"EOL soon","Supported"))))</f>
        <v/>
      </c>
      <c r="AC290" s="28" t="str">
        <f t="shared" si="30"/>
        <v/>
      </c>
      <c r="AD290" s="20"/>
      <c r="AE290" s="22"/>
      <c r="AF290" s="21"/>
      <c r="AG290" s="21"/>
    </row>
    <row r="291" spans="1:33">
      <c r="A291" s="20"/>
      <c r="B291" s="20"/>
      <c r="C291" s="44"/>
      <c r="D291" s="44"/>
      <c r="E291" s="20"/>
      <c r="F291" s="21"/>
      <c r="G291" s="21"/>
      <c r="H291" s="20"/>
      <c r="I291" s="20"/>
      <c r="J291" s="20"/>
      <c r="K291" s="21"/>
      <c r="L291" s="22"/>
      <c r="M291" s="22"/>
      <c r="N291" s="23" t="str">
        <f t="shared" ca="1" si="25"/>
        <v/>
      </c>
      <c r="O291" s="20"/>
      <c r="P291" s="20"/>
      <c r="Q291" s="24"/>
      <c r="R291" s="24"/>
      <c r="S291" s="23" t="str">
        <f t="shared" si="26"/>
        <v/>
      </c>
      <c r="T291" s="25" t="str">
        <f t="shared" si="27"/>
        <v/>
      </c>
      <c r="U291" s="26"/>
      <c r="V291" s="20"/>
      <c r="W291" s="27" t="str">
        <f t="shared" si="28"/>
        <v/>
      </c>
      <c r="X291" s="22"/>
      <c r="Y291" s="23" t="str">
        <f t="shared" ca="1" si="29"/>
        <v/>
      </c>
      <c r="Z291" s="20"/>
      <c r="AA291" s="28" t="str">
        <f>IF($F291="","",IF($M291="","Missing expiry",IF($N291&lt;0,"Expired",IF($N291&lt;=Settings!$B$2,"Urgent",IF($N291&lt;=Settings!$B$3,"Review","Active")))))</f>
        <v/>
      </c>
      <c r="AB291" s="28" t="str">
        <f>IF($F291="","",IF($X291="","",IF($Y291&lt;0,"Past EOL",IF($Y291&lt;=Settings!$B$4,"EOL soon","Supported"))))</f>
        <v/>
      </c>
      <c r="AC291" s="28" t="str">
        <f t="shared" si="30"/>
        <v/>
      </c>
      <c r="AD291" s="20"/>
      <c r="AE291" s="22"/>
      <c r="AF291" s="21"/>
      <c r="AG291" s="21"/>
    </row>
    <row r="292" spans="1:33">
      <c r="A292" s="20"/>
      <c r="B292" s="20"/>
      <c r="C292" s="44"/>
      <c r="D292" s="44"/>
      <c r="E292" s="20"/>
      <c r="F292" s="21"/>
      <c r="G292" s="21"/>
      <c r="H292" s="20"/>
      <c r="I292" s="20"/>
      <c r="J292" s="20"/>
      <c r="K292" s="21"/>
      <c r="L292" s="22"/>
      <c r="M292" s="22"/>
      <c r="N292" s="23" t="str">
        <f t="shared" ca="1" si="25"/>
        <v/>
      </c>
      <c r="O292" s="20"/>
      <c r="P292" s="20"/>
      <c r="Q292" s="24"/>
      <c r="R292" s="24"/>
      <c r="S292" s="23" t="str">
        <f t="shared" si="26"/>
        <v/>
      </c>
      <c r="T292" s="25" t="str">
        <f t="shared" si="27"/>
        <v/>
      </c>
      <c r="U292" s="26"/>
      <c r="V292" s="20"/>
      <c r="W292" s="27" t="str">
        <f t="shared" si="28"/>
        <v/>
      </c>
      <c r="X292" s="22"/>
      <c r="Y292" s="23" t="str">
        <f t="shared" ca="1" si="29"/>
        <v/>
      </c>
      <c r="Z292" s="20"/>
      <c r="AA292" s="28" t="str">
        <f>IF($F292="","",IF($M292="","Missing expiry",IF($N292&lt;0,"Expired",IF($N292&lt;=Settings!$B$2,"Urgent",IF($N292&lt;=Settings!$B$3,"Review","Active")))))</f>
        <v/>
      </c>
      <c r="AB292" s="28" t="str">
        <f>IF($F292="","",IF($X292="","",IF($Y292&lt;0,"Past EOL",IF($Y292&lt;=Settings!$B$4,"EOL soon","Supported"))))</f>
        <v/>
      </c>
      <c r="AC292" s="28" t="str">
        <f t="shared" si="30"/>
        <v/>
      </c>
      <c r="AD292" s="20"/>
      <c r="AE292" s="22"/>
      <c r="AF292" s="21"/>
      <c r="AG292" s="21"/>
    </row>
    <row r="293" spans="1:33">
      <c r="A293" s="20"/>
      <c r="B293" s="20"/>
      <c r="C293" s="44"/>
      <c r="D293" s="44"/>
      <c r="E293" s="20"/>
      <c r="F293" s="21"/>
      <c r="G293" s="21"/>
      <c r="H293" s="20"/>
      <c r="I293" s="20"/>
      <c r="J293" s="20"/>
      <c r="K293" s="21"/>
      <c r="L293" s="22"/>
      <c r="M293" s="22"/>
      <c r="N293" s="23" t="str">
        <f t="shared" ca="1" si="25"/>
        <v/>
      </c>
      <c r="O293" s="20"/>
      <c r="P293" s="20"/>
      <c r="Q293" s="24"/>
      <c r="R293" s="24"/>
      <c r="S293" s="23" t="str">
        <f t="shared" si="26"/>
        <v/>
      </c>
      <c r="T293" s="25" t="str">
        <f t="shared" si="27"/>
        <v/>
      </c>
      <c r="U293" s="26"/>
      <c r="V293" s="20"/>
      <c r="W293" s="27" t="str">
        <f t="shared" si="28"/>
        <v/>
      </c>
      <c r="X293" s="22"/>
      <c r="Y293" s="23" t="str">
        <f t="shared" ca="1" si="29"/>
        <v/>
      </c>
      <c r="Z293" s="20"/>
      <c r="AA293" s="28" t="str">
        <f>IF($F293="","",IF($M293="","Missing expiry",IF($N293&lt;0,"Expired",IF($N293&lt;=Settings!$B$2,"Urgent",IF($N293&lt;=Settings!$B$3,"Review","Active")))))</f>
        <v/>
      </c>
      <c r="AB293" s="28" t="str">
        <f>IF($F293="","",IF($X293="","",IF($Y293&lt;0,"Past EOL",IF($Y293&lt;=Settings!$B$4,"EOL soon","Supported"))))</f>
        <v/>
      </c>
      <c r="AC293" s="28" t="str">
        <f t="shared" si="30"/>
        <v/>
      </c>
      <c r="AD293" s="20"/>
      <c r="AE293" s="22"/>
      <c r="AF293" s="21"/>
      <c r="AG293" s="21"/>
    </row>
    <row r="294" spans="1:33">
      <c r="A294" s="20"/>
      <c r="B294" s="20"/>
      <c r="C294" s="44"/>
      <c r="D294" s="44"/>
      <c r="E294" s="20"/>
      <c r="F294" s="21"/>
      <c r="G294" s="21"/>
      <c r="H294" s="20"/>
      <c r="I294" s="20"/>
      <c r="J294" s="20"/>
      <c r="K294" s="21"/>
      <c r="L294" s="22"/>
      <c r="M294" s="22"/>
      <c r="N294" s="23" t="str">
        <f t="shared" ca="1" si="25"/>
        <v/>
      </c>
      <c r="O294" s="20"/>
      <c r="P294" s="20"/>
      <c r="Q294" s="24"/>
      <c r="R294" s="24"/>
      <c r="S294" s="23" t="str">
        <f t="shared" si="26"/>
        <v/>
      </c>
      <c r="T294" s="25" t="str">
        <f t="shared" si="27"/>
        <v/>
      </c>
      <c r="U294" s="26"/>
      <c r="V294" s="20"/>
      <c r="W294" s="27" t="str">
        <f t="shared" si="28"/>
        <v/>
      </c>
      <c r="X294" s="22"/>
      <c r="Y294" s="23" t="str">
        <f t="shared" ca="1" si="29"/>
        <v/>
      </c>
      <c r="Z294" s="20"/>
      <c r="AA294" s="28" t="str">
        <f>IF($F294="","",IF($M294="","Missing expiry",IF($N294&lt;0,"Expired",IF($N294&lt;=Settings!$B$2,"Urgent",IF($N294&lt;=Settings!$B$3,"Review","Active")))))</f>
        <v/>
      </c>
      <c r="AB294" s="28" t="str">
        <f>IF($F294="","",IF($X294="","",IF($Y294&lt;0,"Past EOL",IF($Y294&lt;=Settings!$B$4,"EOL soon","Supported"))))</f>
        <v/>
      </c>
      <c r="AC294" s="28" t="str">
        <f t="shared" si="30"/>
        <v/>
      </c>
      <c r="AD294" s="20"/>
      <c r="AE294" s="22"/>
      <c r="AF294" s="21"/>
      <c r="AG294" s="21"/>
    </row>
    <row r="295" spans="1:33">
      <c r="A295" s="20"/>
      <c r="B295" s="20"/>
      <c r="C295" s="44"/>
      <c r="D295" s="44"/>
      <c r="E295" s="20"/>
      <c r="F295" s="21"/>
      <c r="G295" s="21"/>
      <c r="H295" s="20"/>
      <c r="I295" s="20"/>
      <c r="J295" s="20"/>
      <c r="K295" s="21"/>
      <c r="L295" s="22"/>
      <c r="M295" s="22"/>
      <c r="N295" s="23" t="str">
        <f t="shared" ca="1" si="25"/>
        <v/>
      </c>
      <c r="O295" s="20"/>
      <c r="P295" s="20"/>
      <c r="Q295" s="24"/>
      <c r="R295" s="24"/>
      <c r="S295" s="23" t="str">
        <f t="shared" si="26"/>
        <v/>
      </c>
      <c r="T295" s="25" t="str">
        <f t="shared" si="27"/>
        <v/>
      </c>
      <c r="U295" s="26"/>
      <c r="V295" s="20"/>
      <c r="W295" s="27" t="str">
        <f t="shared" si="28"/>
        <v/>
      </c>
      <c r="X295" s="22"/>
      <c r="Y295" s="23" t="str">
        <f t="shared" ca="1" si="29"/>
        <v/>
      </c>
      <c r="Z295" s="20"/>
      <c r="AA295" s="28" t="str">
        <f>IF($F295="","",IF($M295="","Missing expiry",IF($N295&lt;0,"Expired",IF($N295&lt;=Settings!$B$2,"Urgent",IF($N295&lt;=Settings!$B$3,"Review","Active")))))</f>
        <v/>
      </c>
      <c r="AB295" s="28" t="str">
        <f>IF($F295="","",IF($X295="","",IF($Y295&lt;0,"Past EOL",IF($Y295&lt;=Settings!$B$4,"EOL soon","Supported"))))</f>
        <v/>
      </c>
      <c r="AC295" s="28" t="str">
        <f t="shared" si="30"/>
        <v/>
      </c>
      <c r="AD295" s="20"/>
      <c r="AE295" s="22"/>
      <c r="AF295" s="21"/>
      <c r="AG295" s="21"/>
    </row>
    <row r="296" spans="1:33">
      <c r="A296" s="20"/>
      <c r="B296" s="20"/>
      <c r="C296" s="44"/>
      <c r="D296" s="44"/>
      <c r="E296" s="20"/>
      <c r="F296" s="21"/>
      <c r="G296" s="21"/>
      <c r="H296" s="20"/>
      <c r="I296" s="20"/>
      <c r="J296" s="20"/>
      <c r="K296" s="21"/>
      <c r="L296" s="22"/>
      <c r="M296" s="22"/>
      <c r="N296" s="23" t="str">
        <f t="shared" ca="1" si="25"/>
        <v/>
      </c>
      <c r="O296" s="20"/>
      <c r="P296" s="20"/>
      <c r="Q296" s="24"/>
      <c r="R296" s="24"/>
      <c r="S296" s="23" t="str">
        <f t="shared" si="26"/>
        <v/>
      </c>
      <c r="T296" s="25" t="str">
        <f t="shared" si="27"/>
        <v/>
      </c>
      <c r="U296" s="26"/>
      <c r="V296" s="20"/>
      <c r="W296" s="27" t="str">
        <f t="shared" si="28"/>
        <v/>
      </c>
      <c r="X296" s="22"/>
      <c r="Y296" s="23" t="str">
        <f t="shared" ca="1" si="29"/>
        <v/>
      </c>
      <c r="Z296" s="20"/>
      <c r="AA296" s="28" t="str">
        <f>IF($F296="","",IF($M296="","Missing expiry",IF($N296&lt;0,"Expired",IF($N296&lt;=Settings!$B$2,"Urgent",IF($N296&lt;=Settings!$B$3,"Review","Active")))))</f>
        <v/>
      </c>
      <c r="AB296" s="28" t="str">
        <f>IF($F296="","",IF($X296="","",IF($Y296&lt;0,"Past EOL",IF($Y296&lt;=Settings!$B$4,"EOL soon","Supported"))))</f>
        <v/>
      </c>
      <c r="AC296" s="28" t="str">
        <f t="shared" si="30"/>
        <v/>
      </c>
      <c r="AD296" s="20"/>
      <c r="AE296" s="22"/>
      <c r="AF296" s="21"/>
      <c r="AG296" s="21"/>
    </row>
    <row r="297" spans="1:33">
      <c r="A297" s="20"/>
      <c r="B297" s="20"/>
      <c r="C297" s="44"/>
      <c r="D297" s="44"/>
      <c r="E297" s="20"/>
      <c r="F297" s="21"/>
      <c r="G297" s="21"/>
      <c r="H297" s="20"/>
      <c r="I297" s="20"/>
      <c r="J297" s="20"/>
      <c r="K297" s="21"/>
      <c r="L297" s="22"/>
      <c r="M297" s="22"/>
      <c r="N297" s="23" t="str">
        <f t="shared" ca="1" si="25"/>
        <v/>
      </c>
      <c r="O297" s="20"/>
      <c r="P297" s="20"/>
      <c r="Q297" s="24"/>
      <c r="R297" s="24"/>
      <c r="S297" s="23" t="str">
        <f t="shared" si="26"/>
        <v/>
      </c>
      <c r="T297" s="25" t="str">
        <f t="shared" si="27"/>
        <v/>
      </c>
      <c r="U297" s="26"/>
      <c r="V297" s="20"/>
      <c r="W297" s="27" t="str">
        <f t="shared" si="28"/>
        <v/>
      </c>
      <c r="X297" s="22"/>
      <c r="Y297" s="23" t="str">
        <f t="shared" ca="1" si="29"/>
        <v/>
      </c>
      <c r="Z297" s="20"/>
      <c r="AA297" s="28" t="str">
        <f>IF($F297="","",IF($M297="","Missing expiry",IF($N297&lt;0,"Expired",IF($N297&lt;=Settings!$B$2,"Urgent",IF($N297&lt;=Settings!$B$3,"Review","Active")))))</f>
        <v/>
      </c>
      <c r="AB297" s="28" t="str">
        <f>IF($F297="","",IF($X297="","",IF($Y297&lt;0,"Past EOL",IF($Y297&lt;=Settings!$B$4,"EOL soon","Supported"))))</f>
        <v/>
      </c>
      <c r="AC297" s="28" t="str">
        <f t="shared" si="30"/>
        <v/>
      </c>
      <c r="AD297" s="20"/>
      <c r="AE297" s="22"/>
      <c r="AF297" s="21"/>
      <c r="AG297" s="21"/>
    </row>
    <row r="298" spans="1:33">
      <c r="A298" s="20"/>
      <c r="B298" s="20"/>
      <c r="C298" s="44"/>
      <c r="D298" s="44"/>
      <c r="E298" s="20"/>
      <c r="F298" s="21"/>
      <c r="G298" s="21"/>
      <c r="H298" s="20"/>
      <c r="I298" s="20"/>
      <c r="J298" s="20"/>
      <c r="K298" s="21"/>
      <c r="L298" s="22"/>
      <c r="M298" s="22"/>
      <c r="N298" s="23" t="str">
        <f t="shared" ca="1" si="25"/>
        <v/>
      </c>
      <c r="O298" s="20"/>
      <c r="P298" s="20"/>
      <c r="Q298" s="24"/>
      <c r="R298" s="24"/>
      <c r="S298" s="23" t="str">
        <f t="shared" si="26"/>
        <v/>
      </c>
      <c r="T298" s="25" t="str">
        <f t="shared" si="27"/>
        <v/>
      </c>
      <c r="U298" s="26"/>
      <c r="V298" s="20"/>
      <c r="W298" s="27" t="str">
        <f t="shared" si="28"/>
        <v/>
      </c>
      <c r="X298" s="22"/>
      <c r="Y298" s="23" t="str">
        <f t="shared" ca="1" si="29"/>
        <v/>
      </c>
      <c r="Z298" s="20"/>
      <c r="AA298" s="28" t="str">
        <f>IF($F298="","",IF($M298="","Missing expiry",IF($N298&lt;0,"Expired",IF($N298&lt;=Settings!$B$2,"Urgent",IF($N298&lt;=Settings!$B$3,"Review","Active")))))</f>
        <v/>
      </c>
      <c r="AB298" s="28" t="str">
        <f>IF($F298="","",IF($X298="","",IF($Y298&lt;0,"Past EOL",IF($Y298&lt;=Settings!$B$4,"EOL soon","Supported"))))</f>
        <v/>
      </c>
      <c r="AC298" s="28" t="str">
        <f t="shared" si="30"/>
        <v/>
      </c>
      <c r="AD298" s="20"/>
      <c r="AE298" s="22"/>
      <c r="AF298" s="21"/>
      <c r="AG298" s="21"/>
    </row>
    <row r="299" spans="1:33">
      <c r="A299" s="20"/>
      <c r="B299" s="20"/>
      <c r="C299" s="44"/>
      <c r="D299" s="44"/>
      <c r="E299" s="20"/>
      <c r="F299" s="21"/>
      <c r="G299" s="21"/>
      <c r="H299" s="20"/>
      <c r="I299" s="20"/>
      <c r="J299" s="20"/>
      <c r="K299" s="21"/>
      <c r="L299" s="22"/>
      <c r="M299" s="22"/>
      <c r="N299" s="23" t="str">
        <f t="shared" ca="1" si="25"/>
        <v/>
      </c>
      <c r="O299" s="20"/>
      <c r="P299" s="20"/>
      <c r="Q299" s="24"/>
      <c r="R299" s="24"/>
      <c r="S299" s="23" t="str">
        <f t="shared" si="26"/>
        <v/>
      </c>
      <c r="T299" s="25" t="str">
        <f t="shared" si="27"/>
        <v/>
      </c>
      <c r="U299" s="26"/>
      <c r="V299" s="20"/>
      <c r="W299" s="27" t="str">
        <f t="shared" si="28"/>
        <v/>
      </c>
      <c r="X299" s="22"/>
      <c r="Y299" s="23" t="str">
        <f t="shared" ca="1" si="29"/>
        <v/>
      </c>
      <c r="Z299" s="20"/>
      <c r="AA299" s="28" t="str">
        <f>IF($F299="","",IF($M299="","Missing expiry",IF($N299&lt;0,"Expired",IF($N299&lt;=Settings!$B$2,"Urgent",IF($N299&lt;=Settings!$B$3,"Review","Active")))))</f>
        <v/>
      </c>
      <c r="AB299" s="28" t="str">
        <f>IF($F299="","",IF($X299="","",IF($Y299&lt;0,"Past EOL",IF($Y299&lt;=Settings!$B$4,"EOL soon","Supported"))))</f>
        <v/>
      </c>
      <c r="AC299" s="28" t="str">
        <f t="shared" si="30"/>
        <v/>
      </c>
      <c r="AD299" s="20"/>
      <c r="AE299" s="22"/>
      <c r="AF299" s="21"/>
      <c r="AG299" s="21"/>
    </row>
    <row r="300" spans="1:33">
      <c r="A300" s="20"/>
      <c r="B300" s="20"/>
      <c r="C300" s="44"/>
      <c r="D300" s="44"/>
      <c r="E300" s="20"/>
      <c r="F300" s="21"/>
      <c r="G300" s="21"/>
      <c r="H300" s="20"/>
      <c r="I300" s="20"/>
      <c r="J300" s="20"/>
      <c r="K300" s="21"/>
      <c r="L300" s="22"/>
      <c r="M300" s="22"/>
      <c r="N300" s="23" t="str">
        <f t="shared" ca="1" si="25"/>
        <v/>
      </c>
      <c r="O300" s="20"/>
      <c r="P300" s="20"/>
      <c r="Q300" s="24"/>
      <c r="R300" s="24"/>
      <c r="S300" s="23" t="str">
        <f t="shared" si="26"/>
        <v/>
      </c>
      <c r="T300" s="25" t="str">
        <f t="shared" si="27"/>
        <v/>
      </c>
      <c r="U300" s="26"/>
      <c r="V300" s="20"/>
      <c r="W300" s="27" t="str">
        <f t="shared" si="28"/>
        <v/>
      </c>
      <c r="X300" s="22"/>
      <c r="Y300" s="23" t="str">
        <f t="shared" ca="1" si="29"/>
        <v/>
      </c>
      <c r="Z300" s="20"/>
      <c r="AA300" s="28" t="str">
        <f>IF($F300="","",IF($M300="","Missing expiry",IF($N300&lt;0,"Expired",IF($N300&lt;=Settings!$B$2,"Urgent",IF($N300&lt;=Settings!$B$3,"Review","Active")))))</f>
        <v/>
      </c>
      <c r="AB300" s="28" t="str">
        <f>IF($F300="","",IF($X300="","",IF($Y300&lt;0,"Past EOL",IF($Y300&lt;=Settings!$B$4,"EOL soon","Supported"))))</f>
        <v/>
      </c>
      <c r="AC300" s="28" t="str">
        <f t="shared" si="30"/>
        <v/>
      </c>
      <c r="AD300" s="20"/>
      <c r="AE300" s="22"/>
      <c r="AF300" s="21"/>
      <c r="AG300" s="21"/>
    </row>
    <row r="301" spans="1:33">
      <c r="A301" s="20"/>
      <c r="B301" s="20"/>
      <c r="C301" s="44"/>
      <c r="D301" s="44"/>
      <c r="E301" s="20"/>
      <c r="F301" s="21"/>
      <c r="G301" s="21"/>
      <c r="H301" s="20"/>
      <c r="I301" s="20"/>
      <c r="J301" s="20"/>
      <c r="K301" s="21"/>
      <c r="L301" s="22"/>
      <c r="M301" s="22"/>
      <c r="N301" s="23" t="str">
        <f t="shared" ca="1" si="25"/>
        <v/>
      </c>
      <c r="O301" s="20"/>
      <c r="P301" s="20"/>
      <c r="Q301" s="24"/>
      <c r="R301" s="24"/>
      <c r="S301" s="23" t="str">
        <f t="shared" si="26"/>
        <v/>
      </c>
      <c r="T301" s="25" t="str">
        <f t="shared" si="27"/>
        <v/>
      </c>
      <c r="U301" s="26"/>
      <c r="V301" s="20"/>
      <c r="W301" s="27" t="str">
        <f t="shared" si="28"/>
        <v/>
      </c>
      <c r="X301" s="22"/>
      <c r="Y301" s="23" t="str">
        <f t="shared" ca="1" si="29"/>
        <v/>
      </c>
      <c r="Z301" s="20"/>
      <c r="AA301" s="28" t="str">
        <f>IF($F301="","",IF($M301="","Missing expiry",IF($N301&lt;0,"Expired",IF($N301&lt;=Settings!$B$2,"Urgent",IF($N301&lt;=Settings!$B$3,"Review","Active")))))</f>
        <v/>
      </c>
      <c r="AB301" s="28" t="str">
        <f>IF($F301="","",IF($X301="","",IF($Y301&lt;0,"Past EOL",IF($Y301&lt;=Settings!$B$4,"EOL soon","Supported"))))</f>
        <v/>
      </c>
      <c r="AC301" s="28" t="str">
        <f t="shared" si="30"/>
        <v/>
      </c>
      <c r="AD301" s="20"/>
      <c r="AE301" s="22"/>
      <c r="AF301" s="21"/>
      <c r="AG301" s="21"/>
    </row>
    <row r="302" spans="1:33">
      <c r="A302" s="20"/>
      <c r="B302" s="20"/>
      <c r="C302" s="44"/>
      <c r="D302" s="44"/>
      <c r="E302" s="20"/>
      <c r="F302" s="21"/>
      <c r="G302" s="21"/>
      <c r="H302" s="20"/>
      <c r="I302" s="20"/>
      <c r="J302" s="20"/>
      <c r="K302" s="21"/>
      <c r="L302" s="22"/>
      <c r="M302" s="22"/>
      <c r="N302" s="23" t="str">
        <f t="shared" ca="1" si="25"/>
        <v/>
      </c>
      <c r="O302" s="20"/>
      <c r="P302" s="20"/>
      <c r="Q302" s="24"/>
      <c r="R302" s="24"/>
      <c r="S302" s="23" t="str">
        <f t="shared" si="26"/>
        <v/>
      </c>
      <c r="T302" s="25" t="str">
        <f t="shared" si="27"/>
        <v/>
      </c>
      <c r="U302" s="26"/>
      <c r="V302" s="20"/>
      <c r="W302" s="27" t="str">
        <f t="shared" si="28"/>
        <v/>
      </c>
      <c r="X302" s="22"/>
      <c r="Y302" s="23" t="str">
        <f t="shared" ca="1" si="29"/>
        <v/>
      </c>
      <c r="Z302" s="20"/>
      <c r="AA302" s="28" t="str">
        <f>IF($F302="","",IF($M302="","Missing expiry",IF($N302&lt;0,"Expired",IF($N302&lt;=Settings!$B$2,"Urgent",IF($N302&lt;=Settings!$B$3,"Review","Active")))))</f>
        <v/>
      </c>
      <c r="AB302" s="28" t="str">
        <f>IF($F302="","",IF($X302="","",IF($Y302&lt;0,"Past EOL",IF($Y302&lt;=Settings!$B$4,"EOL soon","Supported"))))</f>
        <v/>
      </c>
      <c r="AC302" s="28" t="str">
        <f t="shared" si="30"/>
        <v/>
      </c>
      <c r="AD302" s="20"/>
      <c r="AE302" s="22"/>
      <c r="AF302" s="21"/>
      <c r="AG302" s="21"/>
    </row>
    <row r="303" spans="1:33">
      <c r="A303" s="20"/>
      <c r="B303" s="20"/>
      <c r="C303" s="44"/>
      <c r="D303" s="44"/>
      <c r="E303" s="20"/>
      <c r="F303" s="21"/>
      <c r="G303" s="21"/>
      <c r="H303" s="20"/>
      <c r="I303" s="20"/>
      <c r="J303" s="20"/>
      <c r="K303" s="21"/>
      <c r="L303" s="22"/>
      <c r="M303" s="22"/>
      <c r="N303" s="23" t="str">
        <f t="shared" ca="1" si="25"/>
        <v/>
      </c>
      <c r="O303" s="20"/>
      <c r="P303" s="20"/>
      <c r="Q303" s="24"/>
      <c r="R303" s="24"/>
      <c r="S303" s="23" t="str">
        <f t="shared" si="26"/>
        <v/>
      </c>
      <c r="T303" s="25" t="str">
        <f t="shared" si="27"/>
        <v/>
      </c>
      <c r="U303" s="26"/>
      <c r="V303" s="20"/>
      <c r="W303" s="27" t="str">
        <f t="shared" si="28"/>
        <v/>
      </c>
      <c r="X303" s="22"/>
      <c r="Y303" s="23" t="str">
        <f t="shared" ca="1" si="29"/>
        <v/>
      </c>
      <c r="Z303" s="20"/>
      <c r="AA303" s="28" t="str">
        <f>IF($F303="","",IF($M303="","Missing expiry",IF($N303&lt;0,"Expired",IF($N303&lt;=Settings!$B$2,"Urgent",IF($N303&lt;=Settings!$B$3,"Review","Active")))))</f>
        <v/>
      </c>
      <c r="AB303" s="28" t="str">
        <f>IF($F303="","",IF($X303="","",IF($Y303&lt;0,"Past EOL",IF($Y303&lt;=Settings!$B$4,"EOL soon","Supported"))))</f>
        <v/>
      </c>
      <c r="AC303" s="28" t="str">
        <f t="shared" si="30"/>
        <v/>
      </c>
      <c r="AD303" s="20"/>
      <c r="AE303" s="22"/>
      <c r="AF303" s="21"/>
      <c r="AG303" s="21"/>
    </row>
    <row r="304" spans="1:33">
      <c r="A304" s="20"/>
      <c r="B304" s="20"/>
      <c r="C304" s="44"/>
      <c r="D304" s="44"/>
      <c r="E304" s="20"/>
      <c r="F304" s="21"/>
      <c r="G304" s="21"/>
      <c r="H304" s="20"/>
      <c r="I304" s="20"/>
      <c r="J304" s="20"/>
      <c r="K304" s="21"/>
      <c r="L304" s="22"/>
      <c r="M304" s="22"/>
      <c r="N304" s="23" t="str">
        <f t="shared" ca="1" si="25"/>
        <v/>
      </c>
      <c r="O304" s="20"/>
      <c r="P304" s="20"/>
      <c r="Q304" s="24"/>
      <c r="R304" s="24"/>
      <c r="S304" s="23" t="str">
        <f t="shared" si="26"/>
        <v/>
      </c>
      <c r="T304" s="25" t="str">
        <f t="shared" si="27"/>
        <v/>
      </c>
      <c r="U304" s="26"/>
      <c r="V304" s="20"/>
      <c r="W304" s="27" t="str">
        <f t="shared" si="28"/>
        <v/>
      </c>
      <c r="X304" s="22"/>
      <c r="Y304" s="23" t="str">
        <f t="shared" ca="1" si="29"/>
        <v/>
      </c>
      <c r="Z304" s="20"/>
      <c r="AA304" s="28" t="str">
        <f>IF($F304="","",IF($M304="","Missing expiry",IF($N304&lt;0,"Expired",IF($N304&lt;=Settings!$B$2,"Urgent",IF($N304&lt;=Settings!$B$3,"Review","Active")))))</f>
        <v/>
      </c>
      <c r="AB304" s="28" t="str">
        <f>IF($F304="","",IF($X304="","",IF($Y304&lt;0,"Past EOL",IF($Y304&lt;=Settings!$B$4,"EOL soon","Supported"))))</f>
        <v/>
      </c>
      <c r="AC304" s="28" t="str">
        <f t="shared" si="30"/>
        <v/>
      </c>
      <c r="AD304" s="20"/>
      <c r="AE304" s="22"/>
      <c r="AF304" s="21"/>
      <c r="AG304" s="21"/>
    </row>
    <row r="305" spans="1:33">
      <c r="A305" s="20"/>
      <c r="B305" s="20"/>
      <c r="C305" s="44"/>
      <c r="D305" s="44"/>
      <c r="E305" s="20"/>
      <c r="F305" s="21"/>
      <c r="G305" s="21"/>
      <c r="H305" s="20"/>
      <c r="I305" s="20"/>
      <c r="J305" s="20"/>
      <c r="K305" s="21"/>
      <c r="L305" s="22"/>
      <c r="M305" s="22"/>
      <c r="N305" s="23" t="str">
        <f t="shared" ca="1" si="25"/>
        <v/>
      </c>
      <c r="O305" s="20"/>
      <c r="P305" s="20"/>
      <c r="Q305" s="24"/>
      <c r="R305" s="24"/>
      <c r="S305" s="23" t="str">
        <f t="shared" si="26"/>
        <v/>
      </c>
      <c r="T305" s="25" t="str">
        <f t="shared" si="27"/>
        <v/>
      </c>
      <c r="U305" s="26"/>
      <c r="V305" s="20"/>
      <c r="W305" s="27" t="str">
        <f t="shared" si="28"/>
        <v/>
      </c>
      <c r="X305" s="22"/>
      <c r="Y305" s="23" t="str">
        <f t="shared" ca="1" si="29"/>
        <v/>
      </c>
      <c r="Z305" s="20"/>
      <c r="AA305" s="28" t="str">
        <f>IF($F305="","",IF($M305="","Missing expiry",IF($N305&lt;0,"Expired",IF($N305&lt;=Settings!$B$2,"Urgent",IF($N305&lt;=Settings!$B$3,"Review","Active")))))</f>
        <v/>
      </c>
      <c r="AB305" s="28" t="str">
        <f>IF($F305="","",IF($X305="","",IF($Y305&lt;0,"Past EOL",IF($Y305&lt;=Settings!$B$4,"EOL soon","Supported"))))</f>
        <v/>
      </c>
      <c r="AC305" s="28" t="str">
        <f t="shared" si="30"/>
        <v/>
      </c>
      <c r="AD305" s="20"/>
      <c r="AE305" s="22"/>
      <c r="AF305" s="21"/>
      <c r="AG305" s="21"/>
    </row>
    <row r="306" spans="1:33">
      <c r="A306" s="20"/>
      <c r="B306" s="20"/>
      <c r="C306" s="44"/>
      <c r="D306" s="44"/>
      <c r="E306" s="20"/>
      <c r="F306" s="21"/>
      <c r="G306" s="21"/>
      <c r="H306" s="20"/>
      <c r="I306" s="20"/>
      <c r="J306" s="20"/>
      <c r="K306" s="21"/>
      <c r="L306" s="22"/>
      <c r="M306" s="22"/>
      <c r="N306" s="23" t="str">
        <f t="shared" ca="1" si="25"/>
        <v/>
      </c>
      <c r="O306" s="20"/>
      <c r="P306" s="20"/>
      <c r="Q306" s="24"/>
      <c r="R306" s="24"/>
      <c r="S306" s="23" t="str">
        <f t="shared" si="26"/>
        <v/>
      </c>
      <c r="T306" s="25" t="str">
        <f t="shared" si="27"/>
        <v/>
      </c>
      <c r="U306" s="26"/>
      <c r="V306" s="20"/>
      <c r="W306" s="27" t="str">
        <f t="shared" si="28"/>
        <v/>
      </c>
      <c r="X306" s="22"/>
      <c r="Y306" s="23" t="str">
        <f t="shared" ca="1" si="29"/>
        <v/>
      </c>
      <c r="Z306" s="20"/>
      <c r="AA306" s="28" t="str">
        <f>IF($F306="","",IF($M306="","Missing expiry",IF($N306&lt;0,"Expired",IF($N306&lt;=Settings!$B$2,"Urgent",IF($N306&lt;=Settings!$B$3,"Review","Active")))))</f>
        <v/>
      </c>
      <c r="AB306" s="28" t="str">
        <f>IF($F306="","",IF($X306="","",IF($Y306&lt;0,"Past EOL",IF($Y306&lt;=Settings!$B$4,"EOL soon","Supported"))))</f>
        <v/>
      </c>
      <c r="AC306" s="28" t="str">
        <f t="shared" si="30"/>
        <v/>
      </c>
      <c r="AD306" s="20"/>
      <c r="AE306" s="22"/>
      <c r="AF306" s="21"/>
      <c r="AG306" s="21"/>
    </row>
  </sheetData>
  <conditionalFormatting sqref="AA2:AA306">
    <cfRule type="cellIs" dxfId="15" priority="1" operator="equal">
      <formula>"Expired"</formula>
    </cfRule>
    <cfRule type="cellIs" dxfId="14" priority="2" operator="equal">
      <formula>"Urgent"</formula>
    </cfRule>
    <cfRule type="cellIs" dxfId="13" priority="3" operator="equal">
      <formula>"Review"</formula>
    </cfRule>
    <cfRule type="cellIs" dxfId="12" priority="4" operator="equal">
      <formula>"Active"</formula>
    </cfRule>
  </conditionalFormatting>
  <conditionalFormatting sqref="AB2:AB306">
    <cfRule type="cellIs" dxfId="11" priority="5" operator="equal">
      <formula>"Past EOL"</formula>
    </cfRule>
    <cfRule type="cellIs" dxfId="10" priority="6" operator="equal">
      <formula>"EOL soon"</formula>
    </cfRule>
    <cfRule type="cellIs" dxfId="9" priority="7" operator="equal">
      <formula>"Supported"</formula>
    </cfRule>
  </conditionalFormatting>
  <conditionalFormatting sqref="AC2:AC306">
    <cfRule type="cellIs" dxfId="8" priority="8" operator="equal">
      <formula>"Yes"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xr:uid="{00000000-0002-0000-0100-000000000000}">
          <x14:formula1>
            <xm:f>Lists!$A$2:$A$11</xm:f>
          </x14:formula1>
          <xm:sqref>C31 C41:C43 C45:C46 C48:C306</xm:sqref>
        </x14:dataValidation>
        <x14:dataValidation type="list" allowBlank="1" xr:uid="{00000000-0002-0000-0100-000001000000}">
          <x14:formula1>
            <xm:f>Lists!$B$2:$B$8</xm:f>
          </x14:formula1>
          <xm:sqref>D2:D306</xm:sqref>
        </x14:dataValidation>
        <x14:dataValidation type="list" allowBlank="1" xr:uid="{00000000-0002-0000-0100-000002000000}">
          <x14:formula1>
            <xm:f>Lists!$C$2:$C$9</xm:f>
          </x14:formula1>
          <xm:sqref>H2:H306</xm:sqref>
        </x14:dataValidation>
        <x14:dataValidation type="list" allowBlank="1" xr:uid="{00000000-0002-0000-0100-000003000000}">
          <x14:formula1>
            <xm:f>Lists!$D$2:$D$8</xm:f>
          </x14:formula1>
          <xm:sqref>O2:O306</xm:sqref>
        </x14:dataValidation>
        <x14:dataValidation type="list" allowBlank="1" xr:uid="{00000000-0002-0000-0100-000004000000}">
          <x14:formula1>
            <xm:f>Lists!$E$2:$E$3</xm:f>
          </x14:formula1>
          <xm:sqref>P2:P306</xm:sqref>
        </x14:dataValidation>
        <x14:dataValidation type="list" allowBlank="1" xr:uid="{00000000-0002-0000-0100-000005000000}">
          <x14:formula1>
            <xm:f>Lists!$F$2:$F$5</xm:f>
          </x14:formula1>
          <xm:sqref>Z2:Z306</xm:sqref>
        </x14:dataValidation>
        <x14:dataValidation type="list" allowBlank="1" xr:uid="{00000000-0002-0000-0100-000006000000}">
          <x14:formula1>
            <xm:f>Lists!$G$2:$G$8</xm:f>
          </x14:formula1>
          <xm:sqref>V2:V306</xm:sqref>
        </x14:dataValidation>
        <x14:dataValidation type="list" allowBlank="1" xr:uid="{32C1176B-F183-4B7B-960E-666CAAF103BC}">
          <x14:formula1>
            <xm:f>Lists!$A$2:$A$14</xm:f>
          </x14:formula1>
          <xm:sqref>C2:C30 C32:C40 C44 C47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showGridLines="0" workbookViewId="0">
      <selection activeCell="A2" sqref="A2:B6"/>
    </sheetView>
  </sheetViews>
  <sheetFormatPr defaultRowHeight="15"/>
  <cols>
    <col min="1" max="1" width="26" customWidth="1"/>
    <col min="2" max="2" width="16" customWidth="1"/>
    <col min="3" max="3" width="60" customWidth="1"/>
  </cols>
  <sheetData>
    <row r="1" spans="1:3">
      <c r="A1" s="29" t="s">
        <v>147</v>
      </c>
      <c r="B1" s="29" t="s">
        <v>148</v>
      </c>
      <c r="C1" s="29" t="s">
        <v>149</v>
      </c>
    </row>
    <row r="2" spans="1:3">
      <c r="A2" s="30" t="s">
        <v>150</v>
      </c>
      <c r="B2" s="31">
        <v>30</v>
      </c>
      <c r="C2" s="32" t="s">
        <v>151</v>
      </c>
    </row>
    <row r="3" spans="1:3">
      <c r="A3" s="30" t="s">
        <v>152</v>
      </c>
      <c r="B3" s="31">
        <v>60</v>
      </c>
      <c r="C3" s="32" t="s">
        <v>153</v>
      </c>
    </row>
    <row r="4" spans="1:3">
      <c r="A4" s="30" t="s">
        <v>154</v>
      </c>
      <c r="B4" s="31">
        <v>90</v>
      </c>
      <c r="C4" s="32" t="s">
        <v>155</v>
      </c>
    </row>
    <row r="5" spans="1:3">
      <c r="A5" s="30" t="s">
        <v>156</v>
      </c>
      <c r="B5" s="31">
        <v>60</v>
      </c>
      <c r="C5" s="32" t="s">
        <v>157</v>
      </c>
    </row>
    <row r="6" spans="1:3">
      <c r="A6" s="30" t="s">
        <v>158</v>
      </c>
      <c r="B6" s="31" t="s">
        <v>77</v>
      </c>
      <c r="C6" s="32" t="s">
        <v>159</v>
      </c>
    </row>
    <row r="7" spans="1:3">
      <c r="A7" s="30" t="s">
        <v>160</v>
      </c>
      <c r="B7" s="31" t="s">
        <v>161</v>
      </c>
      <c r="C7" s="32" t="s">
        <v>162</v>
      </c>
    </row>
    <row r="10" spans="1:3">
      <c r="A10" s="16" t="s">
        <v>163</v>
      </c>
    </row>
    <row r="11" spans="1:3">
      <c r="A11" s="33" t="s">
        <v>164</v>
      </c>
      <c r="B11" s="34" t="s">
        <v>165</v>
      </c>
    </row>
    <row r="12" spans="1:3">
      <c r="A12" s="35" t="s">
        <v>166</v>
      </c>
      <c r="B12" s="34" t="s">
        <v>167</v>
      </c>
    </row>
    <row r="13" spans="1:3">
      <c r="A13" s="36" t="s">
        <v>168</v>
      </c>
      <c r="B13" s="34" t="s">
        <v>169</v>
      </c>
    </row>
    <row r="14" spans="1:3">
      <c r="A14" s="37" t="s">
        <v>170</v>
      </c>
      <c r="B14" s="34" t="s">
        <v>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showGridLines="0" workbookViewId="0">
      <selection activeCell="B9" sqref="B9"/>
    </sheetView>
  </sheetViews>
  <sheetFormatPr defaultRowHeight="15"/>
  <cols>
    <col min="1" max="7" width="20" customWidth="1"/>
  </cols>
  <sheetData>
    <row r="1" spans="1:7">
      <c r="A1" s="17" t="s">
        <v>19</v>
      </c>
      <c r="B1" s="17" t="s">
        <v>39</v>
      </c>
      <c r="C1" s="17" t="s">
        <v>43</v>
      </c>
      <c r="D1" s="17" t="s">
        <v>50</v>
      </c>
      <c r="E1" s="17" t="s">
        <v>172</v>
      </c>
      <c r="F1" s="17" t="s">
        <v>58</v>
      </c>
      <c r="G1" s="17" t="s">
        <v>54</v>
      </c>
    </row>
    <row r="2" spans="1:7">
      <c r="A2" t="s">
        <v>22</v>
      </c>
      <c r="B2" t="s">
        <v>68</v>
      </c>
      <c r="C2" t="s">
        <v>72</v>
      </c>
      <c r="D2" t="s">
        <v>173</v>
      </c>
      <c r="E2" t="s">
        <v>174</v>
      </c>
      <c r="F2" t="s">
        <v>175</v>
      </c>
      <c r="G2" t="s">
        <v>77</v>
      </c>
    </row>
    <row r="3" spans="1:7">
      <c r="A3" t="s">
        <v>23</v>
      </c>
      <c r="B3" t="s">
        <v>176</v>
      </c>
      <c r="C3" t="s">
        <v>177</v>
      </c>
      <c r="D3" t="s">
        <v>178</v>
      </c>
      <c r="E3" t="s">
        <v>76</v>
      </c>
      <c r="F3" t="s">
        <v>179</v>
      </c>
      <c r="G3" t="s">
        <v>180</v>
      </c>
    </row>
    <row r="4" spans="1:7">
      <c r="A4" t="s">
        <v>24</v>
      </c>
      <c r="B4" t="s">
        <v>102</v>
      </c>
      <c r="C4" t="s">
        <v>181</v>
      </c>
      <c r="D4" t="s">
        <v>108</v>
      </c>
      <c r="F4" t="s">
        <v>78</v>
      </c>
      <c r="G4" t="s">
        <v>182</v>
      </c>
    </row>
    <row r="5" spans="1:7">
      <c r="A5" t="s">
        <v>25</v>
      </c>
      <c r="B5" t="s">
        <v>183</v>
      </c>
      <c r="C5" t="s">
        <v>184</v>
      </c>
      <c r="D5" t="s">
        <v>75</v>
      </c>
      <c r="F5" t="s">
        <v>85</v>
      </c>
      <c r="G5" t="s">
        <v>185</v>
      </c>
    </row>
    <row r="6" spans="1:7">
      <c r="A6" t="s">
        <v>26</v>
      </c>
      <c r="B6" t="s">
        <v>186</v>
      </c>
      <c r="C6" t="s">
        <v>123</v>
      </c>
      <c r="D6" t="s">
        <v>187</v>
      </c>
      <c r="G6" t="s">
        <v>188</v>
      </c>
    </row>
    <row r="7" spans="1:7">
      <c r="A7" t="s">
        <v>27</v>
      </c>
      <c r="B7" t="s">
        <v>189</v>
      </c>
      <c r="C7" t="s">
        <v>190</v>
      </c>
      <c r="D7" t="s">
        <v>191</v>
      </c>
      <c r="G7" t="s">
        <v>192</v>
      </c>
    </row>
    <row r="8" spans="1:7">
      <c r="A8" t="s">
        <v>28</v>
      </c>
      <c r="B8" t="s">
        <v>193</v>
      </c>
      <c r="C8" t="s">
        <v>194</v>
      </c>
      <c r="D8" t="s">
        <v>195</v>
      </c>
      <c r="G8" t="s">
        <v>31</v>
      </c>
    </row>
    <row r="9" spans="1:7">
      <c r="A9" t="s">
        <v>29</v>
      </c>
      <c r="B9" t="s">
        <v>196</v>
      </c>
      <c r="C9" t="s">
        <v>197</v>
      </c>
    </row>
    <row r="10" spans="1:7">
      <c r="A10" t="s">
        <v>30</v>
      </c>
    </row>
    <row r="11" spans="1:7">
      <c r="A11" t="s">
        <v>93</v>
      </c>
    </row>
    <row r="12" spans="1:7">
      <c r="A12" t="s">
        <v>80</v>
      </c>
    </row>
    <row r="13" spans="1:7">
      <c r="A13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showGridLines="0" workbookViewId="0">
      <selection activeCell="B36" sqref="B36"/>
    </sheetView>
  </sheetViews>
  <sheetFormatPr defaultRowHeight="15"/>
  <cols>
    <col min="1" max="1" width="36" customWidth="1"/>
    <col min="2" max="2" width="54" customWidth="1"/>
    <col min="3" max="7" width="18" customWidth="1"/>
  </cols>
  <sheetData>
    <row r="1" spans="1:7" ht="18.75">
      <c r="A1" s="43" t="s">
        <v>198</v>
      </c>
      <c r="B1" s="46"/>
      <c r="C1" s="46"/>
      <c r="D1" s="46"/>
      <c r="E1" s="46"/>
      <c r="F1" s="46"/>
      <c r="G1" s="46"/>
    </row>
    <row r="3" spans="1:7">
      <c r="A3" s="16" t="s">
        <v>199</v>
      </c>
    </row>
    <row r="5" spans="1:7" ht="30">
      <c r="A5" s="38" t="s">
        <v>200</v>
      </c>
      <c r="B5" s="39" t="s">
        <v>201</v>
      </c>
    </row>
    <row r="6" spans="1:7" ht="30">
      <c r="A6" s="38" t="s">
        <v>202</v>
      </c>
      <c r="B6" s="39" t="s">
        <v>203</v>
      </c>
    </row>
    <row r="7" spans="1:7" ht="30">
      <c r="A7" s="38" t="s">
        <v>204</v>
      </c>
      <c r="B7" s="39" t="s">
        <v>205</v>
      </c>
    </row>
    <row r="8" spans="1:7" ht="30">
      <c r="A8" s="38" t="s">
        <v>206</v>
      </c>
      <c r="B8" s="39" t="s">
        <v>207</v>
      </c>
    </row>
    <row r="9" spans="1:7" ht="30">
      <c r="A9" s="38" t="s">
        <v>208</v>
      </c>
      <c r="B9" s="39" t="s">
        <v>209</v>
      </c>
    </row>
    <row r="10" spans="1:7" ht="30">
      <c r="A10" s="38" t="s">
        <v>210</v>
      </c>
      <c r="B10" s="39" t="s">
        <v>211</v>
      </c>
    </row>
    <row r="11" spans="1:7" ht="30">
      <c r="A11" s="38" t="s">
        <v>212</v>
      </c>
      <c r="B11" s="39" t="s">
        <v>213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425CC-8865-4882-9F9D-85A4D6C205EC}">
  <dimension ref="E11:AJ16"/>
  <sheetViews>
    <sheetView topLeftCell="R7" workbookViewId="0">
      <selection activeCell="W11" sqref="W11"/>
    </sheetView>
  </sheetViews>
  <sheetFormatPr defaultRowHeight="15"/>
  <cols>
    <col min="22" max="22" width="12.7109375" customWidth="1"/>
    <col min="23" max="23" width="12.85546875" customWidth="1"/>
    <col min="34" max="34" width="12.7109375" customWidth="1"/>
  </cols>
  <sheetData>
    <row r="11" spans="5:36" ht="51">
      <c r="E11" s="20" t="s">
        <v>214</v>
      </c>
      <c r="F11" s="20" t="s">
        <v>22</v>
      </c>
      <c r="G11" s="20" t="s">
        <v>102</v>
      </c>
      <c r="H11" s="20" t="s">
        <v>215</v>
      </c>
      <c r="I11" s="21" t="s">
        <v>104</v>
      </c>
      <c r="J11" s="21" t="s">
        <v>216</v>
      </c>
      <c r="K11" s="20" t="s">
        <v>72</v>
      </c>
      <c r="L11" s="20" t="s">
        <v>217</v>
      </c>
      <c r="M11" s="20" t="s">
        <v>218</v>
      </c>
      <c r="N11" s="21" t="s">
        <v>219</v>
      </c>
      <c r="O11" s="22">
        <v>45823</v>
      </c>
      <c r="P11" s="22">
        <v>46188</v>
      </c>
      <c r="Q11" s="23" t="e">
        <f t="shared" ref="Q11:Q16" ca="1" si="0">IF($F11="","",IF($M11="","",$M11-TODAY()))</f>
        <v>#VALUE!</v>
      </c>
      <c r="R11" s="20" t="s">
        <v>75</v>
      </c>
      <c r="S11" s="20" t="s">
        <v>76</v>
      </c>
      <c r="T11" s="24">
        <v>1</v>
      </c>
      <c r="U11" s="24">
        <v>1</v>
      </c>
      <c r="V11" s="23" t="e">
        <f t="shared" ref="V11:V16" ca="1" si="1">IF($F11="","",IF(OR($Q11="",$R11=""),"",$Q11-$R11))</f>
        <v>#VALUE!</v>
      </c>
      <c r="W11" s="25" t="e">
        <f t="shared" ref="W11:W16" ca="1" si="2">IF($F11="","",IF(OR($Q11="",$Q11=0,$R11=""),"",$R11/$Q11))</f>
        <v>#VALUE!</v>
      </c>
      <c r="X11" s="26">
        <v>0</v>
      </c>
      <c r="Y11" s="20" t="s">
        <v>77</v>
      </c>
      <c r="Z11" s="27" t="e">
        <f t="shared" ref="Z11:Z16" ca="1" si="3">IF($F11="","",IF(OR($U11="",$Q11=""),"",$U11*$Q11))</f>
        <v>#VALUE!</v>
      </c>
      <c r="AA11" s="22"/>
      <c r="AB11" s="23">
        <f t="shared" ref="AB11:AB16" ca="1" si="4">IF($F11="","",IF($X11="","",$X11-TODAY()))</f>
        <v>-46140</v>
      </c>
      <c r="AC11" s="20" t="s">
        <v>78</v>
      </c>
      <c r="AD11" s="28" t="str">
        <f>IF($F11="","",IF($M11="","Missing expiry",IF($N11&lt;0,"Expired",IF($N11&lt;=Settings!$B$2,"Urgent",IF($N11&lt;=Settings!$B$3,"Review","Active")))))</f>
        <v>Active</v>
      </c>
      <c r="AE11" s="28" t="str">
        <f>IF($F11="","",IF($X11="","",IF($Y11&lt;0,"Past EOL",IF($Y11&lt;=Settings!$B$4,"EOL soon","Supported"))))</f>
        <v>Supported</v>
      </c>
      <c r="AF11" s="28" t="str">
        <f t="shared" ref="AF11:AF16" ca="1" si="5">IF($F11="","",IF(OR($AA11="Expired",$AA11="Urgent",$AB11="Past EOL",$AB11="EOL soon"),"Yes","No"))</f>
        <v>No</v>
      </c>
      <c r="AG11" s="20" t="s">
        <v>220</v>
      </c>
      <c r="AH11" s="22">
        <v>46113</v>
      </c>
      <c r="AI11" s="21" t="s">
        <v>110</v>
      </c>
      <c r="AJ11" s="40" t="s">
        <v>221</v>
      </c>
    </row>
    <row r="12" spans="5:36" ht="51">
      <c r="E12" s="20" t="s">
        <v>101</v>
      </c>
      <c r="F12" s="20" t="s">
        <v>23</v>
      </c>
      <c r="G12" s="20" t="s">
        <v>68</v>
      </c>
      <c r="H12" s="20" t="s">
        <v>222</v>
      </c>
      <c r="I12" s="21" t="s">
        <v>223</v>
      </c>
      <c r="J12" s="21" t="s">
        <v>224</v>
      </c>
      <c r="K12" s="20" t="s">
        <v>72</v>
      </c>
      <c r="L12" s="20" t="s">
        <v>225</v>
      </c>
      <c r="M12" s="20" t="s">
        <v>226</v>
      </c>
      <c r="N12" s="21" t="s">
        <v>227</v>
      </c>
      <c r="O12" s="22">
        <v>45689</v>
      </c>
      <c r="P12" s="22">
        <v>46419</v>
      </c>
      <c r="Q12" s="23" t="e">
        <f t="shared" ca="1" si="0"/>
        <v>#VALUE!</v>
      </c>
      <c r="R12" s="20" t="s">
        <v>75</v>
      </c>
      <c r="S12" s="20" t="s">
        <v>76</v>
      </c>
      <c r="T12" s="24">
        <v>4</v>
      </c>
      <c r="U12" s="24">
        <v>4</v>
      </c>
      <c r="V12" s="23" t="e">
        <f t="shared" ca="1" si="1"/>
        <v>#VALUE!</v>
      </c>
      <c r="W12" s="25" t="e">
        <f t="shared" ca="1" si="2"/>
        <v>#VALUE!</v>
      </c>
      <c r="X12" s="26">
        <v>189</v>
      </c>
      <c r="Y12" s="20" t="s">
        <v>77</v>
      </c>
      <c r="Z12" s="27" t="e">
        <f t="shared" ca="1" si="3"/>
        <v>#VALUE!</v>
      </c>
      <c r="AA12" s="22"/>
      <c r="AB12" s="23">
        <f t="shared" ca="1" si="4"/>
        <v>-45951</v>
      </c>
      <c r="AC12" s="20" t="s">
        <v>179</v>
      </c>
      <c r="AD12" s="28" t="str">
        <f>IF($F12="","",IF($M12="","Missing expiry",IF($N12&lt;0,"Expired",IF($N12&lt;=Settings!$B$2,"Urgent",IF($N12&lt;=Settings!$B$3,"Review","Active")))))</f>
        <v>Active</v>
      </c>
      <c r="AE12" s="28" t="str">
        <f>IF($F12="","",IF($X12="","",IF($Y12&lt;0,"Past EOL",IF($Y12&lt;=Settings!$B$4,"EOL soon","Supported"))))</f>
        <v>Supported</v>
      </c>
      <c r="AF12" s="28" t="str">
        <f t="shared" ca="1" si="5"/>
        <v>No</v>
      </c>
      <c r="AG12" s="20" t="s">
        <v>228</v>
      </c>
      <c r="AH12" s="22">
        <v>46106</v>
      </c>
      <c r="AI12" s="21" t="s">
        <v>229</v>
      </c>
      <c r="AJ12" s="40" t="s">
        <v>230</v>
      </c>
    </row>
    <row r="13" spans="5:36" ht="63.75">
      <c r="E13" s="20" t="s">
        <v>146</v>
      </c>
      <c r="F13" s="20" t="s">
        <v>24</v>
      </c>
      <c r="G13" s="20" t="s">
        <v>176</v>
      </c>
      <c r="H13" s="20" t="s">
        <v>231</v>
      </c>
      <c r="I13" s="21" t="s">
        <v>232</v>
      </c>
      <c r="J13" s="21" t="s">
        <v>233</v>
      </c>
      <c r="K13" s="20" t="s">
        <v>197</v>
      </c>
      <c r="L13" s="20" t="s">
        <v>234</v>
      </c>
      <c r="M13" s="20" t="s">
        <v>235</v>
      </c>
      <c r="N13" s="21" t="s">
        <v>236</v>
      </c>
      <c r="O13" s="22">
        <v>45798</v>
      </c>
      <c r="P13" s="22">
        <v>46162</v>
      </c>
      <c r="Q13" s="23" t="e">
        <f t="shared" ca="1" si="0"/>
        <v>#VALUE!</v>
      </c>
      <c r="R13" s="20" t="s">
        <v>75</v>
      </c>
      <c r="S13" s="20" t="s">
        <v>174</v>
      </c>
      <c r="T13" s="24">
        <v>250</v>
      </c>
      <c r="U13" s="24">
        <v>230</v>
      </c>
      <c r="V13" s="23" t="e">
        <f t="shared" ca="1" si="1"/>
        <v>#VALUE!</v>
      </c>
      <c r="W13" s="25" t="e">
        <f t="shared" ca="1" si="2"/>
        <v>#VALUE!</v>
      </c>
      <c r="X13" s="26">
        <v>16.5</v>
      </c>
      <c r="Y13" s="20" t="s">
        <v>77</v>
      </c>
      <c r="Z13" s="27" t="e">
        <f t="shared" ca="1" si="3"/>
        <v>#VALUE!</v>
      </c>
      <c r="AA13" s="22"/>
      <c r="AB13" s="23">
        <f t="shared" ca="1" si="4"/>
        <v>-46123.5</v>
      </c>
      <c r="AC13" s="20" t="s">
        <v>85</v>
      </c>
      <c r="AD13" s="28" t="str">
        <f>IF($F13="","",IF($M13="","Missing expiry",IF($N13&lt;0,"Expired",IF($N13&lt;=Settings!$B$2,"Urgent",IF($N13&lt;=Settings!$B$3,"Review","Active")))))</f>
        <v>Active</v>
      </c>
      <c r="AE13" s="28" t="str">
        <f>IF($F13="","",IF($X13="","",IF($Y13&lt;0,"Past EOL",IF($Y13&lt;=Settings!$B$4,"EOL soon","Supported"))))</f>
        <v>Supported</v>
      </c>
      <c r="AF13" s="28" t="str">
        <f t="shared" ca="1" si="5"/>
        <v>No</v>
      </c>
      <c r="AG13" s="20" t="s">
        <v>237</v>
      </c>
      <c r="AH13" s="22">
        <v>46111</v>
      </c>
      <c r="AI13" s="21" t="s">
        <v>238</v>
      </c>
      <c r="AJ13" s="40" t="s">
        <v>239</v>
      </c>
    </row>
    <row r="14" spans="5:36" ht="38.25">
      <c r="E14" s="20" t="s">
        <v>67</v>
      </c>
      <c r="F14" s="20" t="s">
        <v>25</v>
      </c>
      <c r="G14" s="20" t="s">
        <v>68</v>
      </c>
      <c r="H14" s="20" t="s">
        <v>240</v>
      </c>
      <c r="I14" s="21" t="s">
        <v>241</v>
      </c>
      <c r="J14" s="21" t="s">
        <v>242</v>
      </c>
      <c r="K14" s="20" t="s">
        <v>72</v>
      </c>
      <c r="L14" s="20" t="s">
        <v>243</v>
      </c>
      <c r="M14" s="20" t="s">
        <v>244</v>
      </c>
      <c r="N14" s="21" t="s">
        <v>245</v>
      </c>
      <c r="O14" s="22">
        <v>45931</v>
      </c>
      <c r="P14" s="22">
        <v>46295</v>
      </c>
      <c r="Q14" s="23" t="e">
        <f t="shared" ca="1" si="0"/>
        <v>#VALUE!</v>
      </c>
      <c r="R14" s="20" t="s">
        <v>75</v>
      </c>
      <c r="S14" s="20" t="s">
        <v>76</v>
      </c>
      <c r="T14" s="24">
        <v>12</v>
      </c>
      <c r="U14" s="24">
        <v>10</v>
      </c>
      <c r="V14" s="23" t="e">
        <f t="shared" ca="1" si="1"/>
        <v>#VALUE!</v>
      </c>
      <c r="W14" s="25" t="e">
        <f t="shared" ca="1" si="2"/>
        <v>#VALUE!</v>
      </c>
      <c r="X14" s="26">
        <v>95</v>
      </c>
      <c r="Y14" s="20" t="s">
        <v>77</v>
      </c>
      <c r="Z14" s="27" t="e">
        <f t="shared" ca="1" si="3"/>
        <v>#VALUE!</v>
      </c>
      <c r="AA14" s="22"/>
      <c r="AB14" s="23">
        <f t="shared" ca="1" si="4"/>
        <v>-46045</v>
      </c>
      <c r="AC14" s="20" t="s">
        <v>78</v>
      </c>
      <c r="AD14" s="28" t="str">
        <f>IF($F14="","",IF($M14="","Missing expiry",IF($N14&lt;0,"Expired",IF($N14&lt;=Settings!$B$2,"Urgent",IF($N14&lt;=Settings!$B$3,"Review","Active")))))</f>
        <v>Active</v>
      </c>
      <c r="AE14" s="28" t="str">
        <f>IF($F14="","",IF($X14="","",IF($Y14&lt;0,"Past EOL",IF($Y14&lt;=Settings!$B$4,"EOL soon","Supported"))))</f>
        <v>Supported</v>
      </c>
      <c r="AF14" s="28" t="str">
        <f t="shared" ca="1" si="5"/>
        <v>No</v>
      </c>
      <c r="AG14" s="20" t="s">
        <v>246</v>
      </c>
      <c r="AH14" s="22">
        <v>46109</v>
      </c>
      <c r="AI14" s="21" t="s">
        <v>247</v>
      </c>
      <c r="AJ14" s="40" t="s">
        <v>248</v>
      </c>
    </row>
    <row r="15" spans="5:36" ht="63.75">
      <c r="E15" s="20" t="s">
        <v>249</v>
      </c>
      <c r="F15" s="20" t="s">
        <v>26</v>
      </c>
      <c r="G15" s="20" t="s">
        <v>189</v>
      </c>
      <c r="H15" s="20" t="s">
        <v>121</v>
      </c>
      <c r="I15" s="21" t="s">
        <v>250</v>
      </c>
      <c r="J15" s="21" t="s">
        <v>251</v>
      </c>
      <c r="K15" s="20" t="s">
        <v>72</v>
      </c>
      <c r="L15" s="20" t="s">
        <v>252</v>
      </c>
      <c r="M15" s="20" t="s">
        <v>253</v>
      </c>
      <c r="N15" s="21" t="s">
        <v>254</v>
      </c>
      <c r="O15" s="22">
        <v>43101</v>
      </c>
      <c r="P15" s="22"/>
      <c r="Q15" s="23" t="e">
        <f t="shared" ca="1" si="0"/>
        <v>#VALUE!</v>
      </c>
      <c r="R15" s="20" t="s">
        <v>195</v>
      </c>
      <c r="S15" s="20" t="s">
        <v>76</v>
      </c>
      <c r="T15" s="24">
        <v>1</v>
      </c>
      <c r="U15" s="24">
        <v>1</v>
      </c>
      <c r="V15" s="23" t="e">
        <f t="shared" ca="1" si="1"/>
        <v>#VALUE!</v>
      </c>
      <c r="W15" s="25" t="e">
        <f t="shared" ca="1" si="2"/>
        <v>#VALUE!</v>
      </c>
      <c r="X15" s="26">
        <v>0</v>
      </c>
      <c r="Y15" s="20" t="s">
        <v>77</v>
      </c>
      <c r="Z15" s="27" t="e">
        <f t="shared" ca="1" si="3"/>
        <v>#VALUE!</v>
      </c>
      <c r="AA15" s="22">
        <v>45209</v>
      </c>
      <c r="AB15" s="23">
        <f t="shared" ca="1" si="4"/>
        <v>-46140</v>
      </c>
      <c r="AC15" s="20" t="s">
        <v>85</v>
      </c>
      <c r="AD15" s="28" t="str">
        <f>IF($F15="","",IF($M15="","Missing expiry",IF($N15&lt;0,"Expired",IF($N15&lt;=Settings!$B$2,"Urgent",IF($N15&lt;=Settings!$B$3,"Review","Active")))))</f>
        <v>Active</v>
      </c>
      <c r="AE15" s="28" t="str">
        <f>IF($F15="","",IF($X15="","",IF($Y15&lt;0,"Past EOL",IF($Y15&lt;=Settings!$B$4,"EOL soon","Supported"))))</f>
        <v>Supported</v>
      </c>
      <c r="AF15" s="28" t="str">
        <f t="shared" ca="1" si="5"/>
        <v>No</v>
      </c>
      <c r="AG15" s="20" t="s">
        <v>255</v>
      </c>
      <c r="AH15" s="22">
        <v>46101</v>
      </c>
      <c r="AI15" s="21" t="s">
        <v>256</v>
      </c>
      <c r="AJ15" s="40" t="s">
        <v>257</v>
      </c>
    </row>
    <row r="16" spans="5:36" ht="76.5">
      <c r="E16" s="20" t="s">
        <v>67</v>
      </c>
      <c r="F16" s="20" t="s">
        <v>27</v>
      </c>
      <c r="G16" s="20" t="s">
        <v>176</v>
      </c>
      <c r="H16" s="20" t="s">
        <v>258</v>
      </c>
      <c r="I16" s="21" t="s">
        <v>259</v>
      </c>
      <c r="J16" s="21" t="s">
        <v>260</v>
      </c>
      <c r="K16" s="20" t="s">
        <v>72</v>
      </c>
      <c r="L16" s="20" t="s">
        <v>261</v>
      </c>
      <c r="M16" s="20" t="s">
        <v>262</v>
      </c>
      <c r="N16" s="21" t="s">
        <v>263</v>
      </c>
      <c r="O16" s="22">
        <v>45776</v>
      </c>
      <c r="P16" s="22">
        <v>46140</v>
      </c>
      <c r="Q16" s="23" t="e">
        <f t="shared" ca="1" si="0"/>
        <v>#VALUE!</v>
      </c>
      <c r="R16" s="20" t="s">
        <v>75</v>
      </c>
      <c r="S16" s="20" t="s">
        <v>76</v>
      </c>
      <c r="T16" s="24">
        <v>1</v>
      </c>
      <c r="U16" s="24">
        <v>1</v>
      </c>
      <c r="V16" s="23" t="e">
        <f t="shared" ca="1" si="1"/>
        <v>#VALUE!</v>
      </c>
      <c r="W16" s="25" t="e">
        <f t="shared" ca="1" si="2"/>
        <v>#VALUE!</v>
      </c>
      <c r="X16" s="26">
        <v>1250</v>
      </c>
      <c r="Y16" s="20" t="s">
        <v>77</v>
      </c>
      <c r="Z16" s="27" t="e">
        <f t="shared" ca="1" si="3"/>
        <v>#VALUE!</v>
      </c>
      <c r="AA16" s="22">
        <v>46871</v>
      </c>
      <c r="AB16" s="23">
        <f t="shared" ca="1" si="4"/>
        <v>-44890</v>
      </c>
      <c r="AC16" s="20" t="s">
        <v>78</v>
      </c>
      <c r="AD16" s="28" t="str">
        <f>IF($F16="","",IF($M16="","Missing expiry",IF($N16&lt;0,"Expired",IF($N16&lt;=Settings!$B$2,"Urgent",IF($N16&lt;=Settings!$B$3,"Review","Active")))))</f>
        <v>Active</v>
      </c>
      <c r="AE16" s="28" t="str">
        <f>IF($F16="","",IF($X16="","",IF($Y16&lt;0,"Past EOL",IF($Y16&lt;=Settings!$B$4,"EOL soon","Supported"))))</f>
        <v>Supported</v>
      </c>
      <c r="AF16" s="28" t="str">
        <f t="shared" ca="1" si="5"/>
        <v>No</v>
      </c>
      <c r="AG16" s="20" t="s">
        <v>264</v>
      </c>
      <c r="AH16" s="22">
        <v>46114</v>
      </c>
      <c r="AI16" s="21" t="s">
        <v>265</v>
      </c>
      <c r="AJ16" s="40" t="s">
        <v>266</v>
      </c>
    </row>
  </sheetData>
  <conditionalFormatting sqref="AD11:AD16">
    <cfRule type="cellIs" dxfId="7" priority="1" operator="equal">
      <formula>"Expired"</formula>
    </cfRule>
    <cfRule type="cellIs" dxfId="6" priority="2" operator="equal">
      <formula>"Urgent"</formula>
    </cfRule>
    <cfRule type="cellIs" dxfId="5" priority="3" operator="equal">
      <formula>"Review"</formula>
    </cfRule>
    <cfRule type="cellIs" dxfId="4" priority="4" operator="equal">
      <formula>"Active"</formula>
    </cfRule>
  </conditionalFormatting>
  <conditionalFormatting sqref="AE11:AE16">
    <cfRule type="cellIs" dxfId="3" priority="5" operator="equal">
      <formula>"Past EOL"</formula>
    </cfRule>
    <cfRule type="cellIs" dxfId="2" priority="6" operator="equal">
      <formula>"EOL soon"</formula>
    </cfRule>
    <cfRule type="cellIs" dxfId="1" priority="7" operator="equal">
      <formula>"Supported"</formula>
    </cfRule>
  </conditionalFormatting>
  <conditionalFormatting sqref="AF11:AF16">
    <cfRule type="cellIs" dxfId="0" priority="8" operator="equal">
      <formula>"Yes"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xr:uid="{5C08AB3B-6F6C-43B3-9125-8298B751B025}">
          <x14:formula1>
            <xm:f>Lists!$G$2:$G$8</xm:f>
          </x14:formula1>
          <xm:sqref>Y11:Y16</xm:sqref>
        </x14:dataValidation>
        <x14:dataValidation type="list" allowBlank="1" xr:uid="{3E4AE7AE-5B10-4AC0-ACE1-6525DAA7DFC8}">
          <x14:formula1>
            <xm:f>Lists!$F$2:$F$5</xm:f>
          </x14:formula1>
          <xm:sqref>AC11:AC16</xm:sqref>
        </x14:dataValidation>
        <x14:dataValidation type="list" allowBlank="1" xr:uid="{040B8942-A890-461D-A5B8-F21F2F93FB92}">
          <x14:formula1>
            <xm:f>Lists!$E$2:$E$3</xm:f>
          </x14:formula1>
          <xm:sqref>S11:S16</xm:sqref>
        </x14:dataValidation>
        <x14:dataValidation type="list" allowBlank="1" xr:uid="{EA8A5097-CAE5-4303-A7D3-463BC339F059}">
          <x14:formula1>
            <xm:f>Lists!$D$2:$D$8</xm:f>
          </x14:formula1>
          <xm:sqref>R11:R16</xm:sqref>
        </x14:dataValidation>
        <x14:dataValidation type="list" allowBlank="1" xr:uid="{2605BAC0-54B2-4578-9E7D-77F673EB7C97}">
          <x14:formula1>
            <xm:f>Lists!$C$2:$C$9</xm:f>
          </x14:formula1>
          <xm:sqref>K11:K16</xm:sqref>
        </x14:dataValidation>
        <x14:dataValidation type="list" allowBlank="1" xr:uid="{E5596F47-3FD8-4E4A-B671-41B81C5D1DD7}">
          <x14:formula1>
            <xm:f>Lists!$B$2:$B$8</xm:f>
          </x14:formula1>
          <xm:sqref>G11:G16</xm:sqref>
        </x14:dataValidation>
        <x14:dataValidation type="list" allowBlank="1" xr:uid="{5D17FEFD-A2A1-4ABF-9C55-BC030D4B0D1F}">
          <x14:formula1>
            <xm:f>Lists!$A$2:$A$11</xm:f>
          </x14:formula1>
          <xm:sqref>F11:F16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Mohammed Shahawey</cp:lastModifiedBy>
  <cp:revision/>
  <dcterms:created xsi:type="dcterms:W3CDTF">2026-04-23T09:20:49Z</dcterms:created>
  <dcterms:modified xsi:type="dcterms:W3CDTF">2026-04-27T21:20:13Z</dcterms:modified>
  <cp:category/>
  <cp:contentStatus/>
</cp:coreProperties>
</file>